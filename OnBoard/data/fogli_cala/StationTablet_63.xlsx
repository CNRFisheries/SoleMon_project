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775C8918-4B08-4F31-8190-F097383EE0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<sst xmlns="http://schemas.openxmlformats.org/spreadsheetml/2006/main" count="2654" uniqueCount="2607">
  <si>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</si>
  <si>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</si>
  <si>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</si>
  <si>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</si>
  <si>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</si>
  <si>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</si>
  <si>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</si>
  <si>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</si>
  <si>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</si>
  <si>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</si>
  <si>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</si>
  <si>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</si>
  <si>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</si>
  <si>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</si>
  <si>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</si>
  <si>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</si>
  <si>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</si>
  <si>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</si>
  <si>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</si>
  <si>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</si>
  <si>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</si>
  <si>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</si>
  <si>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</si>
  <si>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</si>
  <si>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</si>
  <si>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</si>
  <si>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</si>
  <si>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</si>
  <si>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</si>
  <si>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</si>
  <si>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</si>
  <si>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</si>
  <si>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</si>
  <si>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</si>
  <si>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</si>
  <si>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</si>
  <si>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</si>
  <si>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</si>
  <si>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</si>
  <si>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</si>
  <si>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</si>
  <si>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</si>
  <si>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</si>
  <si>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</si>
  <si>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</si>
  <si>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</si>
  <si>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</si>
  <si>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</si>
  <si>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</si>
  <si>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</si>
  <si>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</si>
  <si>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</si>
  <si>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</si>
  <si>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</si>
  <si>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</si>
  <si>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</si>
  <si>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</si>
  <si>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</si>
  <si>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</si>
  <si>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</si>
  <si>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</si>
  <si>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</si>
  <si>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</si>
  <si>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</si>
  <si>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</si>
  <si>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</si>
  <si>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</si>
  <si>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</si>
  <si>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</si>
  <si>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</si>
  <si>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</si>
  <si>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</si>
  <si>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</si>
  <si>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</si>
  <si>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</si>
  <si>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</si>
  <si>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</si>
  <si>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</si>
  <si>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</si>
  <si>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</si>
  <si>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</si>
  <si>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</si>
  <si>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</si>
  <si>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</si>
  <si>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</si>
  <si>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</si>
  <si>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</si>
  <si>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</si>
  <si>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</si>
  <si>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</si>
  <si>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</si>
  <si>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</si>
  <si>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</si>
  <si>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</si>
  <si>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</si>
  <si>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</si>
  <si>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</si>
  <si>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</si>
  <si>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</si>
  <si>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</si>
  <si>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</si>
  <si>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</si>
  <si>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</si>
  <si>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</si>
  <si>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</si>
  <si>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</si>
  <si>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</si>
  <si>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</si>
  <si>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</si>
  <si>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</si>
  <si>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</si>
  <si>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</si>
  <si>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</si>
  <si>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</si>
  <si>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</si>
  <si>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</si>
  <si>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</si>
  <si>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</si>
  <si>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</si>
  <si>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</si>
  <si>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</si>
  <si>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</si>
  <si>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</si>
  <si>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</si>
  <si>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</si>
  <si>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</si>
  <si>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</si>
  <si>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</si>
  <si>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</si>
  <si>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</si>
  <si>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</si>
  <si>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</si>
  <si>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</si>
  <si>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</si>
  <si>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</si>
  <si>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</si>
  <si>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</si>
  <si>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</si>
  <si>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</si>
  <si>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</si>
  <si>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</si>
  <si>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</si>
  <si>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</si>
  <si>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</si>
  <si>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</si>
  <si>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</si>
  <si>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</si>
  <si>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</si>
  <si>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</si>
  <si>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</si>
  <si>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</si>
  <si>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</si>
  <si>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</si>
  <si>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</si>
  <si>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</si>
  <si>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</si>
  <si>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</si>
  <si>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</si>
  <si>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</si>
  <si>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</si>
  <si>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</si>
  <si>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</si>
  <si>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</si>
  <si>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</si>
  <si>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</si>
  <si>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</si>
  <si>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</si>
  <si>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</si>
  <si>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</si>
  <si>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</si>
  <si>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</si>
  <si>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</si>
  <si>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</si>
  <si>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</si>
  <si>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</si>
  <si>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</si>
  <si>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</si>
  <si>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</si>
  <si>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</si>
  <si>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</si>
  <si>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</si>
  <si>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</si>
  <si>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</si>
  <si>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</si>
  <si>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</si>
  <si>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</si>
  <si>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</si>
  <si>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</si>
  <si>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</si>
  <si>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</si>
  <si>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</si>
  <si>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</si>
  <si>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</si>
  <si>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</si>
  <si>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</si>
  <si>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</si>
  <si>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</si>
  <si>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</si>
  <si>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</si>
  <si>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</si>
  <si>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</si>
  <si>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</si>
  <si>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</si>
  <si>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</si>
  <si>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</si>
  <si>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</si>
  <si>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</si>
  <si>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</si>
  <si>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</si>
  <si>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</si>
  <si>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</si>
  <si>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</si>
  <si>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</si>
  <si>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</si>
  <si>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</si>
  <si>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</si>
  <si>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</si>
  <si>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</si>
  <si>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</si>
  <si>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</si>
  <si>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</si>
  <si>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</si>
  <si>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</si>
  <si>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</si>
  <si>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</si>
  <si>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</si>
  <si>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</si>
  <si>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</si>
  <si>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</si>
  <si>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</si>
  <si>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</si>
  <si>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</si>
  <si>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</si>
  <si>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</si>
  <si>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</si>
  <si>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</si>
  <si>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</si>
  <si>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</si>
  <si>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</si>
  <si>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</si>
  <si>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</si>
  <si>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</si>
  <si>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</si>
  <si>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</si>
  <si>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</si>
  <si>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</si>
  <si>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</si>
  <si>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</si>
  <si>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</si>
  <si>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</si>
  <si>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</si>
  <si>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</si>
  <si>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</si>
  <si>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</si>
  <si>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</si>
  <si>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</si>
  <si>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</si>
  <si>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</si>
  <si>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</si>
  <si>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</si>
  <si>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</si>
  <si>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</si>
  <si>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</si>
  <si>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</si>
  <si>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</si>
  <si>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</si>
  <si>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</si>
  <si>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</si>
  <si>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</si>
  <si>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</si>
  <si>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</si>
  <si>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</si>
  <si>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</si>
  <si>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</si>
  <si>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</si>
  <si>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</si>
  <si>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</si>
  <si>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</si>
  <si>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</si>
  <si>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</si>
  <si>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</si>
  <si>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</si>
  <si>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</si>
  <si>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</si>
  <si>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</si>
  <si>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</si>
  <si>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</si>
  <si>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</si>
  <si>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</si>
  <si>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</si>
  <si>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</si>
  <si>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</si>
  <si>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</si>
  <si>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</si>
  <si>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</si>
  <si>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</si>
  <si>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</si>
  <si>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</si>
  <si>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</si>
  <si>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</si>
  <si>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</si>
  <si>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</si>
  <si>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</si>
  <si>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</si>
  <si>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</si>
  <si>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</si>
  <si>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</si>
  <si>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</si>
  <si>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</si>
  <si>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</si>
  <si>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</si>
  <si>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</si>
  <si>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</si>
  <si>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</si>
  <si>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</si>
  <si>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</si>
  <si>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</si>
  <si>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</si>
  <si>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</si>
  <si>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</si>
  <si>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</si>
  <si>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</si>
  <si>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</si>
  <si>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</si>
  <si>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</si>
  <si>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</si>
  <si>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</si>
  <si>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</si>
  <si>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</si>
  <si>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</si>
  <si>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</si>
  <si>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</si>
  <si>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</si>
  <si>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</si>
  <si>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</si>
  <si>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</si>
  <si>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</si>
  <si>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</si>
  <si>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</si>
  <si>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</si>
  <si>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</si>
  <si>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</si>
  <si>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</si>
  <si>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</si>
  <si>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</si>
  <si>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</si>
  <si>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</si>
  <si>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</si>
  <si>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</si>
  <si>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</si>
  <si>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</si>
  <si>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</si>
  <si>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</si>
  <si>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</si>
  <si>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</si>
  <si>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</si>
  <si>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</si>
  <si>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</si>
  <si>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</si>
  <si>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</si>
  <si>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</si>
  <si>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</si>
  <si>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</si>
  <si>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</si>
  <si>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</si>
  <si>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</si>
  <si>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</si>
  <si>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</si>
  <si>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</si>
  <si>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</si>
  <si>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</si>
  <si>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</si>
  <si>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</si>
  <si>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</si>
  <si>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</si>
  <si>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</si>
  <si>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</si>
  <si>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</si>
  <si>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</si>
  <si>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</si>
  <si>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</si>
  <si>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</si>
  <si>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</si>
  <si>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</si>
  <si>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</si>
  <si>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</si>
  <si>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</si>
  <si>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</si>
  <si>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</si>
  <si>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</si>
  <si>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</si>
  <si>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</si>
  <si>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</si>
  <si>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</si>
  <si>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</si>
  <si>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</si>
  <si>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</si>
  <si>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</si>
  <si>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</si>
  <si>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</si>
  <si>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</si>
  <si>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</si>
  <si>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</si>
  <si>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</si>
  <si>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</si>
  <si>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</si>
  <si>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</si>
  <si>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</si>
  <si>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</si>
  <si>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</si>
  <si>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</si>
  <si>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</si>
  <si>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</si>
  <si>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</si>
  <si>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</si>
  <si>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</si>
  <si>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</si>
  <si>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</si>
  <si>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</si>
  <si>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</si>
  <si>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</si>
  <si>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</si>
  <si>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</si>
  <si>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</si>
  <si>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</si>
  <si>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</si>
  <si>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</si>
  <si>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</si>
  <si>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</si>
  <si>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</si>
  <si>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</si>
  <si>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</si>
  <si>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</si>
  <si>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</si>
  <si>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</si>
  <si>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</si>
  <si>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</si>
  <si>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</si>
  <si>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</si>
  <si>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</si>
  <si>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</si>
  <si>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</si>
  <si>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</si>
  <si>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</si>
  <si>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</si>
  <si>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</si>
  <si>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</si>
  <si>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</si>
  <si>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</si>
  <si>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</si>
  <si>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</si>
  <si>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</si>
  <si>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</si>
  <si>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</si>
  <si>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</si>
  <si>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</si>
  <si>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</si>
  <si>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</si>
  <si>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</si>
  <si>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</si>
  <si>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</si>
  <si>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</si>
  <si>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</si>
  <si>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</si>
  <si>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</si>
  <si>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</si>
  <si>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</si>
  <si>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</si>
  <si>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</si>
  <si>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</si>
  <si>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</si>
  <si>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</si>
  <si>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</si>
  <si>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</si>
  <si>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</si>
  <si>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</si>
  <si>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</si>
  <si>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</si>
  <si>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</si>
  <si>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</si>
  <si>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</si>
  <si>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</si>
  <si>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</si>
  <si>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</si>
  <si>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</si>
  <si>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</si>
  <si>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</si>
  <si>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</si>
  <si>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</si>
  <si>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</si>
  <si>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</si>
  <si>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</si>
  <si>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</si>
  <si>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</si>
  <si>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</si>
  <si>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</si>
  <si>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</si>
  <si>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</si>
  <si>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</si>
  <si>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</si>
  <si>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</si>
  <si>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</si>
  <si>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</si>
  <si>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</si>
  <si>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</si>
  <si>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</si>
  <si>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</si>
  <si>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</si>
  <si>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</si>
  <si>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</si>
  <si>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</si>
  <si>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</si>
  <si>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</si>
  <si>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</si>
  <si>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</si>
  <si>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</si>
  <si>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</si>
  <si>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</si>
  <si>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</si>
  <si>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</si>
  <si>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</si>
  <si>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</si>
  <si>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</si>
  <si>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</si>
  <si>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</si>
  <si>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</si>
  <si>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</si>
  <si>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</si>
  <si>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</si>
  <si>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</si>
  <si>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</si>
  <si>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</si>
  <si>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</si>
  <si>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</si>
  <si>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</si>
  <si>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</si>
  <si>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</si>
  <si>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</si>
  <si>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</si>
  <si>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</si>
  <si>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</si>
  <si>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</si>
  <si>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</si>
  <si>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</si>
  <si>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</si>
  <si>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</si>
  <si>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</si>
  <si>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</si>
  <si>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</si>
  <si>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</si>
  <si>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</si>
  <si>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</si>
  <si>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</si>
  <si>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</si>
  <si>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</si>
  <si>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</si>
  <si>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</si>
  <si>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</si>
  <si>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</si>
  <si>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</si>
  <si>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</si>
  <si>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</si>
  <si>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</si>
  <si>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</si>
  <si>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</si>
  <si>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</si>
  <si>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</si>
  <si>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</si>
  <si>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</si>
  <si>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</si>
  <si>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</si>
  <si>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</si>
  <si>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</si>
  <si>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</si>
  <si>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</si>
  <si>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</si>
  <si>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</si>
  <si>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</si>
  <si>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</si>
  <si>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</si>
  <si>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</si>
  <si>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</si>
  <si>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</si>
  <si>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</si>
  <si>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</si>
  <si>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</si>
  <si>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</si>
  <si>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</si>
  <si>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</si>
  <si>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</si>
  <si>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</si>
  <si>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</si>
  <si>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</si>
  <si>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</si>
  <si>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</si>
  <si>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</si>
  <si>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</si>
  <si>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</si>
  <si>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</si>
  <si>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</si>
  <si>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</si>
  <si>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</si>
  <si>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</si>
  <si>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</si>
  <si>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</si>
  <si>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</si>
  <si>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</si>
  <si>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</si>
  <si>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</si>
  <si>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</si>
  <si>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</si>
  <si>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</si>
  <si>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</si>
  <si>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</si>
  <si>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</si>
  <si>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</si>
  <si>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</si>
  <si>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</si>
  <si>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</si>
  <si>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</si>
  <si>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</si>
  <si>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</si>
  <si>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</si>
  <si>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</si>
  <si>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</si>
  <si>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</si>
  <si>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</si>
  <si>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</si>
  <si>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</si>
  <si>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</si>
  <si>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</si>
  <si>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</si>
  <si>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</si>
  <si>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</si>
  <si>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</si>
  <si>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</si>
  <si>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</si>
  <si>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</si>
  <si>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</si>
  <si>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</si>
  <si>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</si>
  <si>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</si>
  <si>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</si>
  <si>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</si>
  <si>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</si>
  <si>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</si>
  <si>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</si>
  <si>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</si>
  <si>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</si>
  <si>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</si>
  <si>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</si>
  <si>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</si>
  <si>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</si>
  <si>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</si>
  <si>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</si>
  <si>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</si>
  <si>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</si>
  <si>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</si>
  <si>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</si>
  <si>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</si>
  <si>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</si>
  <si>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</si>
  <si>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</si>
  <si>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</si>
  <si>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</si>
  <si>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</si>
  <si>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</si>
  <si>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</si>
  <si>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</si>
  <si>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</si>
  <si>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</si>
  <si>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</si>
  <si>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</si>
  <si>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</si>
  <si>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</si>
  <si>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</si>
  <si>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</si>
  <si>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</si>
  <si>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</si>
  <si>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</si>
  <si>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</si>
  <si>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</si>
  <si>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</si>
  <si>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</si>
  <si>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</si>
  <si>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</si>
  <si>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</si>
  <si>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</si>
  <si>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</si>
  <si>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</si>
  <si>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</si>
  <si>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</si>
  <si>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</si>
  <si>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</si>
  <si>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</si>
  <si>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</si>
  <si>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</si>
  <si>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</si>
  <si>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</si>
  <si>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</si>
  <si>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</si>
  <si>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</si>
  <si>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</si>
  <si>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</si>
  <si>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</si>
  <si>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</si>
  <si>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</si>
  <si>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</si>
  <si>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</si>
  <si>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</si>
  <si>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</si>
  <si>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</si>
  <si>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</si>
  <si>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</si>
  <si>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</si>
  <si>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</si>
  <si>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</si>
  <si>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</si>
  <si>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</si>
  <si>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</si>
  <si>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</si>
  <si>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</si>
  <si>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</si>
  <si>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</si>
  <si>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</si>
  <si>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</si>
  <si>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</si>
  <si>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</si>
  <si>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</si>
  <si>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</si>
  <si>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</si>
  <si>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</si>
  <si>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</si>
  <si>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</si>
  <si>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</si>
  <si>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</si>
  <si>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</si>
  <si>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</si>
  <si>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</si>
  <si>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</si>
  <si>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</si>
  <si>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</si>
  <si>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</si>
  <si>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</si>
  <si>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</si>
  <si>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</si>
  <si>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</si>
  <si>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</si>
  <si>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</si>
  <si>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</si>
  <si>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</si>
  <si>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</si>
  <si>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</si>
  <si>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</si>
  <si>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</si>
  <si>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</si>
  <si>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</si>
  <si>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</si>
  <si>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</si>
  <si>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</si>
  <si>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</si>
  <si>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</si>
  <si>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</si>
  <si>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</si>
  <si>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</si>
  <si>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</si>
  <si>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</si>
  <si>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</si>
  <si>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</si>
  <si>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</si>
  <si>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</si>
  <si>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</si>
  <si>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</si>
  <si>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</si>
  <si>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</si>
  <si>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</si>
  <si>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</si>
  <si>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</si>
  <si>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</si>
  <si>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</si>
  <si>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</si>
  <si>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</si>
  <si>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</si>
  <si>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</si>
  <si>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</si>
  <si>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</si>
  <si>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</si>
  <si>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</si>
  <si>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</si>
  <si>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</si>
  <si>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</si>
  <si>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</si>
  <si>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</si>
  <si>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</si>
  <si>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</si>
  <si>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</si>
  <si>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</si>
  <si>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</si>
  <si>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</si>
  <si>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</si>
  <si>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</si>
  <si>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</si>
  <si>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</si>
  <si>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</si>
  <si>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</si>
  <si>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</si>
  <si>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</si>
  <si>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</si>
  <si>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</si>
  <si>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</si>
  <si>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</si>
  <si>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</si>
  <si>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</si>
  <si>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</si>
  <si>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</si>
  <si>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</si>
  <si>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</si>
  <si>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</si>
  <si>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</si>
  <si>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</si>
  <si>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</si>
  <si>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</si>
  <si>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</si>
  <si>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</si>
  <si>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</si>
  <si>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</si>
  <si>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</si>
  <si>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</si>
  <si>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</si>
  <si>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</si>
  <si>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</si>
  <si>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</si>
  <si>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</si>
  <si>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</si>
  <si>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</si>
  <si>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</si>
  <si>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</si>
  <si>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</si>
  <si>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</si>
  <si>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</si>
  <si>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</si>
  <si>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</si>
  <si>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</si>
  <si>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</si>
  <si>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</si>
  <si>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</si>
  <si>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</si>
  <si>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</si>
  <si>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</si>
  <si>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</si>
  <si>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</si>
  <si>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</si>
  <si>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</si>
  <si>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</si>
  <si>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</si>
  <si>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</si>
  <si>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</si>
  <si>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</si>
  <si>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</si>
  <si>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</si>
  <si>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</si>
  <si>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</si>
  <si>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</si>
  <si>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</si>
  <si>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</si>
  <si>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</si>
  <si>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</si>
  <si>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</si>
  <si>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</si>
  <si>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</si>
  <si>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</si>
  <si>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</si>
  <si>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</si>
  <si>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</si>
  <si>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</si>
  <si>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</si>
  <si>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</si>
  <si>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</si>
  <si>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</si>
  <si>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</si>
  <si>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</si>
  <si>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</si>
  <si>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</si>
  <si>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</si>
  <si>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</si>
  <si>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</si>
  <si>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</si>
  <si>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</si>
  <si>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</si>
  <si>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</si>
  <si>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</si>
  <si>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</si>
  <si>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</si>
  <si>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</si>
  <si>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</si>
  <si>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</si>
  <si>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</si>
  <si>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</si>
  <si>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</si>
  <si>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</si>
  <si>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</si>
  <si>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</si>
  <si>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</si>
  <si>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</si>
  <si>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</si>
  <si>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</si>
  <si>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</si>
  <si>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</si>
  <si>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</si>
  <si>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</si>
  <si>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</si>
  <si>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</si>
  <si>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</si>
  <si>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</si>
  <si>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</si>
  <si>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</si>
  <si>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</si>
  <si>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</si>
  <si>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</si>
  <si>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</si>
  <si>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</si>
  <si>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</si>
  <si>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</si>
  <si>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</si>
  <si>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</si>
  <si>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</si>
  <si>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</si>
  <si>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</si>
  <si>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</si>
  <si>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</si>
  <si>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</si>
  <si>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</si>
  <si>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</si>
  <si>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</si>
  <si>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</si>
  <si>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</si>
  <si>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</si>
  <si>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</si>
  <si>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</si>
  <si>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</si>
  <si>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</si>
  <si>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</si>
  <si>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</si>
  <si>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</si>
  <si>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</si>
  <si>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</si>
  <si>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</si>
  <si>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</si>
  <si>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</si>
  <si>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</si>
  <si>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</si>
  <si>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</si>
  <si>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</si>
  <si>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</si>
  <si>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</si>
  <si>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</si>
  <si>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</si>
  <si>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</si>
  <si>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</si>
  <si>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</si>
  <si>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</si>
  <si>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</si>
  <si>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</si>
  <si>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</si>
  <si>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</si>
  <si>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</si>
  <si>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</si>
  <si>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</si>
  <si>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</si>
  <si>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</si>
  <si>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</si>
  <si>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</si>
  <si>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</si>
  <si>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</si>
  <si>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</si>
  <si>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</si>
  <si>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</si>
  <si>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</si>
  <si>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</si>
  <si>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</si>
  <si>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</si>
  <si>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</si>
  <si>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</si>
  <si>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</si>
  <si>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</si>
  <si>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</si>
  <si>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</si>
  <si>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</si>
  <si>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</si>
  <si>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</si>
  <si>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</si>
  <si>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</si>
  <si>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</si>
  <si>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</si>
  <si>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</si>
  <si>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</si>
  <si>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</si>
  <si>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</si>
  <si>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</si>
  <si>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</si>
  <si>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</si>
  <si>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</si>
  <si>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</si>
  <si>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</si>
  <si>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</si>
  <si>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</si>
  <si>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</si>
  <si>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</si>
  <si>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</si>
  <si>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</si>
  <si>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</si>
  <si>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</si>
  <si>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</si>
  <si>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</si>
  <si>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</si>
  <si>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</si>
  <si>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</si>
  <si>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</si>
  <si>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</si>
  <si>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</si>
  <si>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</si>
  <si>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</si>
  <si>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</si>
  <si>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</si>
  <si>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</si>
  <si>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</si>
  <si>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</si>
  <si>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</si>
  <si>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</si>
  <si>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</si>
  <si>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</si>
  <si>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</si>
  <si>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</si>
  <si>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</si>
  <si>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</si>
  <si>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</si>
  <si>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</si>
  <si>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</si>
  <si>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</si>
  <si>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</si>
  <si>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</si>
  <si>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</si>
  <si>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</si>
  <si>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</si>
  <si>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</si>
  <si>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</si>
  <si>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</si>
  <si>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</si>
  <si>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</si>
  <si>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</si>
  <si>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</si>
  <si>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</si>
  <si>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</si>
  <si>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</si>
  <si>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</si>
  <si>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</si>
  <si>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</si>
  <si>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</si>
  <si>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</si>
  <si>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</si>
  <si>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</si>
  <si>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</si>
  <si>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</si>
  <si>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</si>
  <si>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</si>
  <si>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</si>
  <si>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</si>
  <si>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</si>
  <si>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</si>
  <si>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</si>
  <si>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</si>
  <si>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</si>
  <si>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</si>
  <si>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</si>
  <si>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</si>
  <si>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</si>
  <si>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</si>
  <si>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</si>
  <si>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</si>
  <si>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</si>
  <si>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</si>
  <si>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</si>
  <si>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</si>
  <si>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</si>
  <si>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</si>
  <si>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</si>
  <si>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</si>
  <si>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</si>
  <si>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</si>
  <si>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</si>
  <si>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</si>
  <si>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</si>
  <si>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</si>
  <si>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</si>
  <si>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</si>
  <si>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</si>
  <si>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</si>
  <si>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</si>
  <si>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</si>
  <si>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</si>
  <si>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</si>
  <si>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</si>
  <si>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</si>
  <si>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</si>
  <si>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</si>
  <si>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</si>
  <si>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</si>
  <si>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</si>
  <si>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</si>
  <si>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</si>
  <si>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</si>
  <si>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</si>
  <si>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</si>
  <si>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</si>
  <si>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</si>
  <si>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</si>
  <si>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</si>
  <si>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</si>
  <si>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</si>
  <si>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</si>
  <si>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</si>
  <si>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</si>
  <si>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</si>
  <si>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</si>
  <si>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</si>
  <si>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</si>
  <si>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</si>
  <si>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</si>
  <si>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</si>
  <si>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</si>
  <si>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</si>
  <si>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</si>
  <si>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</si>
  <si>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</si>
  <si>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</si>
  <si>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</si>
  <si>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</si>
  <si>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</si>
  <si>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</si>
  <si>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</si>
  <si>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</si>
  <si>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</si>
  <si>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</si>
  <si>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</si>
  <si>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</si>
  <si>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</si>
  <si>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</si>
  <si>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</si>
  <si>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</si>
  <si>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</si>
  <si>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</si>
  <si>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</si>
  <si>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</si>
  <si>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</si>
  <si>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</si>
  <si>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</si>
  <si>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</si>
  <si>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</si>
  <si>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</si>
  <si>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</si>
  <si>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</si>
  <si>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</si>
  <si>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</si>
  <si>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</si>
  <si>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</si>
  <si>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</si>
  <si>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</si>
  <si>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</si>
  <si>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</si>
  <si>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</si>
  <si>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</si>
  <si>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</si>
  <si>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</si>
  <si>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</si>
  <si>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</si>
  <si>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</si>
  <si>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</si>
  <si>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</si>
  <si>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</si>
  <si>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</si>
  <si>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</si>
  <si>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</si>
  <si>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</si>
  <si>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</si>
  <si>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</si>
  <si>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</si>
  <si>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</si>
  <si>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</si>
  <si>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</si>
  <si>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</si>
  <si>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</si>
  <si>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</si>
  <si>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</si>
  <si>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</si>
  <si>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</si>
  <si>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</si>
  <si>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</si>
  <si>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</si>
  <si>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</si>
  <si>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</si>
  <si>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</si>
  <si>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</si>
  <si>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</si>
  <si>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</si>
  <si>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</si>
  <si>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</si>
  <si>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</si>
  <si>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</si>
  <si>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</si>
  <si>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</si>
  <si>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</si>
  <si>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</si>
  <si>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</si>
  <si>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</si>
  <si>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</si>
  <si>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</si>
  <si>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</si>
  <si>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</si>
  <si>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</si>
  <si>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</si>
  <si>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</si>
  <si>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</si>
  <si>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</si>
  <si>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</si>
  <si>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</si>
  <si>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</si>
  <si>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</si>
  <si>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</si>
  <si>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</si>
  <si>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</si>
  <si>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</si>
  <si>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</si>
  <si>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</si>
  <si>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</si>
  <si>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</si>
  <si>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</si>
  <si>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</si>
  <si>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</si>
  <si>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</si>
  <si>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</si>
  <si>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</si>
  <si>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</si>
  <si>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</si>
  <si>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</si>
  <si>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</si>
  <si>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</si>
  <si>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</si>
  <si>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</si>
  <si>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</si>
  <si>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</si>
  <si>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</si>
  <si>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</si>
  <si>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</si>
  <si>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</si>
  <si>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</si>
  <si>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</si>
  <si>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</si>
  <si>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</si>
  <si>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</si>
  <si>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</si>
  <si>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</si>
  <si>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</si>
  <si>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</si>
  <si>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</si>
  <si>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</si>
  <si>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</si>
  <si>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</si>
  <si>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</si>
  <si>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</si>
  <si>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</si>
  <si>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</si>
  <si>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</si>
  <si>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</si>
  <si>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</si>
  <si>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</si>
  <si>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</si>
  <si>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</si>
  <si>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</si>
  <si>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</si>
  <si>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</si>
  <si>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</si>
  <si>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</si>
  <si>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</si>
  <si>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</si>
  <si>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</si>
  <si>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</si>
  <si>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</si>
  <si>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</si>
  <si>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</si>
  <si>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</si>
  <si>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</si>
  <si>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</si>
  <si>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</si>
  <si>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</si>
  <si>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</si>
  <si>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</si>
  <si>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</si>
  <si>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</si>
  <si>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</si>
  <si>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</si>
  <si>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</si>
  <si>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</si>
  <si>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</si>
  <si>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</si>
  <si>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</si>
  <si>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</si>
  <si>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</si>
  <si>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</si>
  <si>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</si>
  <si>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</si>
  <si>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</si>
  <si>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</si>
  <si>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</si>
  <si>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</si>
  <si>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</si>
  <si>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</si>
  <si>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</si>
  <si>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</si>
  <si>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</si>
  <si>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</si>
  <si>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</si>
  <si>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</si>
  <si>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</si>
  <si>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</si>
  <si>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</si>
  <si>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</si>
  <si>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</si>
  <si>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</si>
  <si>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</si>
  <si>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</si>
  <si>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</si>
  <si>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</si>
  <si>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</si>
  <si>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</si>
  <si>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</si>
  <si>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</si>
  <si>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</si>
  <si>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</si>
  <si>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</si>
  <si>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</si>
  <si>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</si>
  <si>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</si>
  <si>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</si>
  <si>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</si>
  <si>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</si>
  <si>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</si>
  <si>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</si>
  <si>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</si>
  <si>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</si>
  <si>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</si>
  <si>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</si>
  <si>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</si>
  <si>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</si>
  <si>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</si>
  <si>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</si>
  <si>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</si>
  <si>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</si>
  <si>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</si>
  <si>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</si>
  <si>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</si>
  <si>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</si>
  <si>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</si>
  <si>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</si>
  <si>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</si>
  <si>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</si>
  <si>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</si>
  <si>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</si>
  <si>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</si>
  <si>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</si>
  <si>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</si>
  <si>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</si>
  <si>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</si>
  <si>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</si>
  <si>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</si>
  <si>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</si>
  <si>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</si>
  <si>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</si>
  <si>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</si>
  <si>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</si>
  <si>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</si>
  <si>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</si>
  <si>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</si>
  <si>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</si>
  <si>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</si>
  <si>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</si>
  <si>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</si>
  <si>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</si>
  <si>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</si>
  <si>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</si>
  <si>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</si>
  <si>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</si>
  <si>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</si>
  <si>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</si>
  <si>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</si>
  <si>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</si>
  <si>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</si>
  <si>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</si>
  <si>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</si>
  <si>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</si>
  <si>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</si>
  <si>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</si>
  <si>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</si>
  <si>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</si>
  <si>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</si>
  <si>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</si>
  <si>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</si>
  <si>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</si>
  <si>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</si>
  <si>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</si>
  <si>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</si>
  <si>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</si>
  <si>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</si>
  <si>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</si>
  <si>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</si>
  <si>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</si>
  <si>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</si>
  <si>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</si>
  <si>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</si>
  <si>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</si>
  <si>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</si>
  <si>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</si>
  <si>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</si>
  <si>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</si>
  <si>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</si>
  <si>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</si>
  <si>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</si>
  <si>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</si>
  <si>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</si>
  <si>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</si>
  <si>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</si>
  <si>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</si>
  <si>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</si>
  <si>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</si>
  <si>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</si>
  <si>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</si>
  <si>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</si>
  <si>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</si>
  <si>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</si>
  <si>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</si>
  <si>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</si>
  <si>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</si>
  <si>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</si>
  <si>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</si>
  <si>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</si>
  <si>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</si>
  <si>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</si>
  <si>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</si>
  <si>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</si>
  <si>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</si>
  <si>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</si>
  <si>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</si>
  <si>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</si>
  <si>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</si>
  <si>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</si>
  <si>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</si>
  <si>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</si>
  <si>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</si>
  <si>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</si>
  <si>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</si>
  <si>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</si>
  <si>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</si>
  <si>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</si>
  <si>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</si>
  <si>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</si>
  <si>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</si>
  <si>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</si>
  <si>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</si>
  <si>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</si>
  <si>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</si>
  <si>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</si>
  <si>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</si>
  <si>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</si>
  <si>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</si>
  <si>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</si>
  <si>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</si>
  <si>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</si>
  <si>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</si>
  <si>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</si>
  <si>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</si>
  <si>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</si>
  <si>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</si>
  <si>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</si>
  <si>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</si>
  <si>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</si>
  <si>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</si>
  <si>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</si>
  <si>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</si>
  <si>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</si>
  <si>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</si>
  <si>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</si>
  <si>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</si>
  <si>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</si>
  <si>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</si>
  <si>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</si>
  <si>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</si>
  <si>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</si>
  <si>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</si>
  <si>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</si>
  <si>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</si>
  <si>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</si>
  <si>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</si>
  <si>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</si>
  <si>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</si>
  <si>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</si>
  <si>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</si>
  <si>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</si>
  <si>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</si>
  <si>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</si>
  <si>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</si>
  <si>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</si>
  <si>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</si>
  <si>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</si>
  <si>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</si>
  <si>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</si>
  <si>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</si>
  <si>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</si>
  <si>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</si>
  <si>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</si>
  <si>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</si>
  <si>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</si>
  <si>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</si>
  <si>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</si>
  <si>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</si>
  <si>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</si>
  <si>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</si>
  <si>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</si>
  <si>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</si>
  <si>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</si>
  <si>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</si>
  <si>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</si>
  <si>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</si>
  <si>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</si>
  <si>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</si>
  <si>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</si>
  <si>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</si>
  <si>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</si>
  <si>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</si>
  <si>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</si>
  <si>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</si>
  <si>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</si>
  <si>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</si>
  <si>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</si>
  <si>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</si>
  <si>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</si>
  <si>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</si>
  <si>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</si>
  <si>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</si>
  <si>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</si>
  <si>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</si>
  <si>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</si>
  <si>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</si>
  <si>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</si>
  <si>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</si>
  <si>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</si>
  <si>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</si>
  <si>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</si>
  <si>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</si>
  <si>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</si>
  <si>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</si>
  <si>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</si>
  <si>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</si>
  <si>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</si>
  <si>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</si>
  <si>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</si>
  <si>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</si>
  <si>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</si>
  <si>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</si>
  <si>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</si>
  <si>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</si>
  <si>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</si>
  <si>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</si>
  <si>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</si>
  <si>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</si>
  <si>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</si>
  <si>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</si>
  <si>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</si>
  <si>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</si>
  <si>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</si>
  <si>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</si>
  <si>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</si>
  <si>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</si>
  <si>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</si>
  <si>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</si>
  <si>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</si>
  <si>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</si>
  <si>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</si>
  <si>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</si>
  <si>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</si>
  <si>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</si>
  <si>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</si>
  <si>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</si>
  <si>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</si>
  <si>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</si>
  <si>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</si>
  <si>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</si>
  <si>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</si>
  <si>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</si>
  <si>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</si>
  <si>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</si>
  <si>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</si>
  <si>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</si>
  <si>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</si>
  <si>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</si>
  <si>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</si>
  <si>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</si>
  <si>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</si>
  <si>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</si>
  <si>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</si>
  <si>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</si>
  <si>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</si>
  <si>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</si>
  <si>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</si>
  <si>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</si>
  <si>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</si>
  <si>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</si>
  <si>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</si>
  <si>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</si>
  <si>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</si>
  <si>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</si>
  <si>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</si>
  <si>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</si>
  <si>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</si>
  <si>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</si>
  <si>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</si>
  <si>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</si>
  <si>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</si>
  <si>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</si>
  <si>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</si>
  <si>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</si>
  <si>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</si>
  <si>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</si>
  <si>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</si>
  <si>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</si>
  <si>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</si>
  <si>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</si>
  <si>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</si>
  <si>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</si>
  <si>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</si>
  <si>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</si>
  <si>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</si>
  <si>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</si>
  <si>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</si>
  <si>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</si>
  <si>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</si>
  <si>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</si>
  <si>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</si>
  <si>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</si>
  <si>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</si>
  <si>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</si>
  <si>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</si>
  <si>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</si>
  <si>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</si>
  <si>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</si>
  <si>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</si>
  <si>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</si>
  <si>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</si>
  <si>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</si>
  <si>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</si>
  <si>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</si>
  <si>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</si>
  <si>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</si>
  <si>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</si>
  <si>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</si>
  <si>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</si>
  <si>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</si>
  <si>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</si>
  <si>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</si>
  <si>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</si>
  <si>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</si>
  <si>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</si>
  <si>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</si>
  <si>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</si>
  <si>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</si>
  <si>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</si>
  <si>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</si>
  <si>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</si>
  <si>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</si>
  <si>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</si>
  <si>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</si>
  <si>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</si>
  <si>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</si>
  <si>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</si>
  <si>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</si>
  <si>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</si>
  <si>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</si>
  <si>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</si>
  <si>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</si>
  <si>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</si>
  <si>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</si>
  <si>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</si>
  <si>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</si>
  <si>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</si>
  <si>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</si>
  <si>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</si>
  <si>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</si>
  <si>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</si>
  <si>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</si>
  <si>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</si>
  <si>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</si>
  <si>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</si>
  <si>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</si>
  <si>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</si>
  <si>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</si>
  <si>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</si>
  <si>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</si>
  <si>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</si>
  <si>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</si>
  <si>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</si>
  <si>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</si>
  <si>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</si>
  <si>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</si>
  <si>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</si>
  <si>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</si>
  <si>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</si>
  <si>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</si>
  <si>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</si>
  <si>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</si>
  <si>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</si>
  <si>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</si>
  <si>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</si>
  <si>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</si>
  <si>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</si>
  <si>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</si>
  <si>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</si>
  <si>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</si>
  <si>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</si>
  <si>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</si>
  <si>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</si>
  <si>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</si>
  <si>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</si>
  <si>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</si>
  <si>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</si>
  <si>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</si>
  <si>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</si>
  <si>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</si>
  <si>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</si>
  <si>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</si>
  <si>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</si>
  <si>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</si>
  <si>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</si>
  <si>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</si>
  <si>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</si>
  <si>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</si>
  <si>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</si>
  <si>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</si>
  <si>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</si>
  <si>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</si>
  <si>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</si>
  <si>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</si>
  <si>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</si>
  <si>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</si>
  <si>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</si>
  <si>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</si>
  <si>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</si>
  <si>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</si>
  <si>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</si>
  <si>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</si>
  <si>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</si>
  <si>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</si>
  <si>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</si>
  <si>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</si>
  <si>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</si>
  <si>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</si>
  <si>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</si>
  <si>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</si>
  <si>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</si>
  <si>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</si>
  <si>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</si>
  <si>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</si>
  <si>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</si>
  <si>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</si>
  <si>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</si>
  <si>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</si>
  <si>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</si>
  <si>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</si>
  <si>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</si>
  <si>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</si>
  <si>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</si>
  <si>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</si>
  <si>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</si>
  <si>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</si>
  <si>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</si>
  <si>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</si>
  <si>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</si>
  <si>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</si>
  <si>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</si>
  <si>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</si>
  <si>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</si>
  <si>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</si>
  <si>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</si>
  <si>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</si>
  <si>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</si>
  <si>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</si>
  <si>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</si>
  <si>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</si>
  <si>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</si>
  <si>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</si>
  <si>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</si>
  <si>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</si>
  <si>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</si>
  <si>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</si>
  <si>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</si>
  <si>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</si>
  <si>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</si>
  <si>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</si>
  <si>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</si>
  <si>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</si>
  <si>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</si>
  <si>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</si>
  <si>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</si>
  <si>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</si>
  <si>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</si>
  <si>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</si>
  <si>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</si>
  <si>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</si>
  <si>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</si>
  <si>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</si>
  <si>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</si>
  <si>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</si>
  <si>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</si>
  <si>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</si>
  <si>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</si>
  <si>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</si>
  <si>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</si>
  <si>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</si>
  <si>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</si>
  <si>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</si>
  <si>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</si>
  <si>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</si>
  <si>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</si>
  <si>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</si>
  <si>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</si>
  <si>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</si>
  <si>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</si>
  <si>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</si>
  <si>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</si>
  <si>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</si>
  <si>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</si>
  <si>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</si>
  <si>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</si>
  <si>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</si>
  <si>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</si>
  <si>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</si>
  <si>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</si>
  <si>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</si>
  <si>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</si>
  <si>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</si>
  <si>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</si>
  <si>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</si>
  <si>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</si>
  <si>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</si>
  <si>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</si>
  <si>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</si>
  <si>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</si>
  <si>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</si>
  <si>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</si>
  <si>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</si>
  <si>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</si>
  <si>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</si>
  <si>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</si>
  <si>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</si>
  <si>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</si>
  <si>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</si>
  <si>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</si>
  <si>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</si>
  <si>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</si>
  <si>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</si>
  <si>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</si>
  <si>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</si>
  <si>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</si>
  <si>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</si>
  <si>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</si>
  <si>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</si>
  <si>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</si>
  <si>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</si>
  <si>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</si>
  <si>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</si>
  <si>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</si>
  <si>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</si>
  <si>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</si>
  <si>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</si>
  <si>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</si>
  <si>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</si>
  <si>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</si>
  <si>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</si>
  <si>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</si>
  <si>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</si>
  <si>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</si>
  <si>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</si>
  <si>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</si>
  <si>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</si>
  <si>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</si>
  <si>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</si>
  <si>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</si>
  <si>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</si>
  <si>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</si>
  <si>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</si>
  <si>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</si>
  <si>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</si>
  <si>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</si>
  <si>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</si>
  <si>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</si>
  <si>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</si>
  <si>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</si>
  <si>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</si>
  <si>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</si>
  <si>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</si>
  <si>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</si>
  <si>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</si>
  <si>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</si>
  <si>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</si>
  <si>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</si>
  <si>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</si>
  <si>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</si>
  <si>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</si>
  <si>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</si>
  <si>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</si>
  <si>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</si>
  <si>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</si>
  <si>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</si>
  <si>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</si>
  <si>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</si>
  <si>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</si>
  <si>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</si>
  <si>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</si>
  <si>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</si>
  <si>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</si>
  <si>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</si>
  <si>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</si>
  <si>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</si>
  <si>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</si>
  <si>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</si>
  <si>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</si>
  <si>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</si>
  <si>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</si>
  <si>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</si>
  <si>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</si>
  <si>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</si>
  <si>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</si>
  <si>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</si>
  <si>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</si>
  <si>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</si>
  <si>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</si>
  <si>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</si>
  <si>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</si>
  <si>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</si>
  <si>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</si>
  <si>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</si>
  <si>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</si>
  <si>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</si>
  <si>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</si>
  <si>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</si>
  <si>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</si>
  <si>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</si>
  <si>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</si>
  <si>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</si>
  <si>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</si>
  <si>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</si>
  <si>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</si>
  <si>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</si>
  <si>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</si>
  <si>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</si>
  <si>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</si>
  <si>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</si>
  <si>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</si>
  <si>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</si>
  <si>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</si>
  <si>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</si>
  <si>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</si>
  <si>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</si>
  <si>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</si>
  <si>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</si>
  <si>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</si>
  <si>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</si>
  <si>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</si>
  <si>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</si>
  <si>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</si>
  <si>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</si>
  <si>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</si>
  <si>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</si>
  <si>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</si>
  <si>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</si>
  <si>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</si>
  <si>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</si>
  <si>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</si>
  <si>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</si>
  <si>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</si>
  <si>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</si>
  <si>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</si>
  <si>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</si>
  <si>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</si>
  <si>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</si>
  <si>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</si>
  <si>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</si>
  <si>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</si>
  <si>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</si>
  <si>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</si>
  <si>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</si>
  <si>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</si>
  <si>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</si>
  <si>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</si>
  <si>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</si>
  <si>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</si>
  <si>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</si>
  <si>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</si>
  <si>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</si>
  <si>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</si>
  <si>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</si>
  <si>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</si>
  <si>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</si>
  <si>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</si>
  <si>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</si>
  <si>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</si>
  <si>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</si>
  <si>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</si>
  <si>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</si>
  <si>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</si>
  <si>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</si>
  <si>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</si>
  <si>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</si>
  <si>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</si>
  <si>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</si>
  <si>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</si>
  <si>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</si>
  <si>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</si>
  <si>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</si>
  <si>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</si>
  <si>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</si>
  <si>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</si>
  <si>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</si>
  <si>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</si>
  <si>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</si>
  <si>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</si>
  <si>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</si>
  <si>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</si>
  <si>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</si>
  <si>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</si>
  <si>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</si>
  <si>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</si>
  <si>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</si>
  <si>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</si>
  <si>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</si>
  <si>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</si>
  <si>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</si>
  <si>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</si>
  <si>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</si>
  <si>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</si>
  <si>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</si>
  <si>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</si>
  <si>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</si>
  <si>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</si>
  <si>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</si>
  <si>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</si>
  <si>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</si>
  <si>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</si>
  <si>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</si>
  <si>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</si>
  <si>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</si>
  <si>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</si>
  <si>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</si>
  <si>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</si>
  <si>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</si>
  <si>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</si>
  <si>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</si>
  <si>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</si>
  <si>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</si>
  <si>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</si>
  <si>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</si>
  <si>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</si>
  <si>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</si>
  <si>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</si>
  <si>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</si>
  <si>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</si>
  <si>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</si>
  <si>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</si>
  <si>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</si>
  <si>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</si>
  <si>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</si>
  <si>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</si>
  <si>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</si>
  <si>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</si>
  <si>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</si>
  <si>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</si>
  <si>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</si>
  <si>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</si>
  <si>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</si>
  <si>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</si>
  <si>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</si>
  <si>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</si>
  <si>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</si>
  <si>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</si>
  <si>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</si>
  <si>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</si>
  <si>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</si>
  <si>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</si>
  <si>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</si>
  <si>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</si>
  <si>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</si>
  <si>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</si>
  <si>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</si>
  <si>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</si>
  <si>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</si>
  <si>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</si>
  <si>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</si>
  <si>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</si>
  <si>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</si>
  <si>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</si>
  <si>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</si>
  <si>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</si>
  <si>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</si>
  <si>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</si>
  <si>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</si>
  <si>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</si>
  <si>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</si>
  <si>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</si>
  <si>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</si>
  <si>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</si>
  <si>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</si>
  <si>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</si>
  <si>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</si>
  <si>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</si>
  <si>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</si>
  <si>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</si>
  <si>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</si>
  <si>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</si>
  <si>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</si>
  <si>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</si>
  <si>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</si>
  <si>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</si>
  <si>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</si>
  <si>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</si>
  <si>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</si>
  <si>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</si>
  <si>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</si>
  <si>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</si>
  <si>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</si>
  <si>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</si>
  <si>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</si>
  <si>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</si>
  <si>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</si>
  <si>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</si>
  <si>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</si>
  <si>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</si>
  <si>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</si>
  <si>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</si>
  <si>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</si>
  <si>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</si>
  <si>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</si>
  <si>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</si>
  <si>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</si>
  <si>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</si>
  <si>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</si>
  <si>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</si>
  <si>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</si>
  <si>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</si>
  <si>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</si>
  <si>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</si>
  <si>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</si>
  <si>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</si>
  <si>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</si>
  <si>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</si>
  <si>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</si>
  <si>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</si>
  <si>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</si>
  <si>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</si>
  <si>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</si>
  <si>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</si>
  <si>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</si>
  <si>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</si>
  <si>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</si>
  <si>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</si>
  <si>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</si>
  <si>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</si>
  <si>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</si>
  <si>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</si>
  <si>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</si>
  <si>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</si>
  <si>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</si>
  <si>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</si>
  <si>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</si>
  <si>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</si>
  <si>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</si>
  <si>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</si>
  <si>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</si>
  <si>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</si>
  <si>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</si>
  <si>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</si>
  <si>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</si>
  <si>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</si>
  <si>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</si>
  <si>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</si>
  <si>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</si>
  <si>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</si>
  <si>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</si>
  <si>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</si>
  <si>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</si>
  <si>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</si>
  <si>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</si>
  <si>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</si>
  <si>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</si>
  <si>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</si>
  <si>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</si>
  <si>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</si>
  <si>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</si>
  <si>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</si>
  <si>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</si>
  <si>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</si>
  <si>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</si>
  <si>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</si>
  <si>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</si>
  <si>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</si>
  <si>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</si>
  <si>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</si>
  <si>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</si>
  <si>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</si>
  <si>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</si>
  <si>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</si>
  <si>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</si>
  <si>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</si>
  <si>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</si>
  <si>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</si>
  <si>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</si>
  <si>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</si>
  <si>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</si>
  <si>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</si>
  <si>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</si>
  <si>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</si>
  <si>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</si>
  <si>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</si>
  <si>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</si>
  <si>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</si>
  <si>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</si>
  <si>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</si>
  <si>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</si>
  <si>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</si>
  <si>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</si>
  <si>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</si>
  <si>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</si>
  <si>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</si>
  <si>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</si>
  <si>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</si>
  <si>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</si>
  <si>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</si>
  <si>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</si>
  <si>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</si>
  <si>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</si>
  <si>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</si>
  <si>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</si>
  <si>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</si>
  <si>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</si>
  <si>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</si>
  <si>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</si>
  <si>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</si>
  <si>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</si>
  <si>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</si>
  <si>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</si>
  <si>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</si>
  <si>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</si>
  <si>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</si>
  <si>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</si>
  <si>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</si>
  <si>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</si>
  <si>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</si>
  <si>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</si>
  <si>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</si>
  <si>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</si>
  <si>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</si>
  <si>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</si>
  <si>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</si>
  <si>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</si>
  <si>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</si>
  <si>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</si>
  <si>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</si>
  <si>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</si>
  <si>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</si>
  <si>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</si>
  <si>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</si>
  <si>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</si>
  <si>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</si>
  <si>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</si>
  <si>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</si>
  <si>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</si>
  <si>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</si>
  <si>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</si>
  <si>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</si>
  <si>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</si>
  <si>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</si>
  <si>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</si>
  <si>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</si>
  <si>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</si>
  <si>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</si>
  <si>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</si>
  <si>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</si>
  <si>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</si>
  <si>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</si>
  <si>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</si>
  <si>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</si>
  <si>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</si>
  <si>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</si>
  <si>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</si>
  <si>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</si>
  <si>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</si>
  <si>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</si>
  <si>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</si>
  <si>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</si>
  <si>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</si>
  <si>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</si>
  <si>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</si>
  <si>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</si>
  <si>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</si>
  <si>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</si>
  <si>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</si>
  <si>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</si>
  <si>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</si>
  <si>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</si>
  <si>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</si>
  <si>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</si>
  <si>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</si>
  <si>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</si>
  <si>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</si>
  <si>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</si>
  <si>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</si>
  <si>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</si>
  <si>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</si>
  <si>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</si>
  <si>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</si>
  <si>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</si>
  <si>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</si>
  <si>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</si>
  <si>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</si>
  <si>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</si>
  <si>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</si>
  <si>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</si>
  <si>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</si>
  <si>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</si>
  <si>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</si>
  <si>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</si>
  <si>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</si>
  <si>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</si>
  <si>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</si>
  <si>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</si>
  <si>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</si>
  <si>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</si>
  <si>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</si>
  <si>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</si>
  <si>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</si>
  <si>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</si>
  <si>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</si>
  <si>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</si>
  <si>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</si>
  <si>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</si>
  <si>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</si>
  <si>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</si>
  <si>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</si>
  <si>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</si>
  <si>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</si>
  <si>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</si>
  <si>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</si>
  <si>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</si>
  <si>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</si>
  <si>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</si>
  <si>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</si>
  <si>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</si>
  <si>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</si>
  <si>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</si>
  <si>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</si>
  <si>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</si>
  <si>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</si>
  <si>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</si>
  <si>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</si>
  <si>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</si>
  <si>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</si>
  <si>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</si>
  <si>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</si>
  <si>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</si>
  <si>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</si>
  <si>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</si>
  <si>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</si>
  <si>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</si>
  <si>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</si>
  <si>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</si>
  <si>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</si>
  <si>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</si>
  <si>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</si>
  <si>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</si>
  <si>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</si>
  <si>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</si>
  <si>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</si>
  <si>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</si>
  <si>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</si>
  <si>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</si>
  <si>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</si>
  <si>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</si>
  <si>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</si>
  <si>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</si>
  <si>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</si>
  <si>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</si>
  <si>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</si>
  <si>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</si>
  <si>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</si>
  <si>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</si>
  <si>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</si>
  <si>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</si>
  <si>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</si>
  <si>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</si>
  <si>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</si>
  <si>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</si>
  <si>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</si>
  <si>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</si>
  <si>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</si>
  <si>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</si>
  <si>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</si>
  <si>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</si>
  <si>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</si>
  <si>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</si>
  <si>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</si>
  <si>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</si>
  <si>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</si>
  <si>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</si>
  <si>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</si>
  <si>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</si>
  <si>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</si>
  <si>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</si>
  <si>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</si>
  <si>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</si>
  <si>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</si>
  <si>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</si>
  <si>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</si>
  <si>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</si>
  <si>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</si>
  <si>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</si>
  <si>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</si>
  <si>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</si>
  <si>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</si>
  <si>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</si>
  <si>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</si>
  <si>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</si>
  <si>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</si>
  <si>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</si>
  <si>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</si>
  <si>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</si>
  <si>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</si>
  <si>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</si>
  <si>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</si>
  <si>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</si>
  <si>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</si>
  <si>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</si>
  <si>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</si>
  <si>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</si>
  <si>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</si>
  <si>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</si>
  <si>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</si>
  <si>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</si>
  <si>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</si>
  <si>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</si>
  <si>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</si>
  <si>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</si>
  <si>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</si>
  <si>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</si>
  <si>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</si>
  <si>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</si>
  <si>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</si>
  <si>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</si>
  <si>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</si>
  <si>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</si>
  <si>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</si>
  <si>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</si>
  <si>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</si>
  <si>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</si>
  <si>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</si>
  <si>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</si>
  <si>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</si>
  <si>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</si>
  <si>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</si>
  <si>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</si>
  <si>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</si>
  <si>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</si>
  <si>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</si>
  <si>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</si>
  <si>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</si>
  <si>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</si>
  <si>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</si>
  <si>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</si>
  <si>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</si>
  <si>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</si>
  <si>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</si>
  <si>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</si>
  <si>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</si>
  <si>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</si>
  <si>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</si>
  <si>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</si>
  <si>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</si>
  <si>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</si>
  <si>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</si>
  <si>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</si>
  <si>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</si>
  <si>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</si>
  <si>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</si>
  <si>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</si>
  <si>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</si>
  <si>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</si>
  <si>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</si>
  <si>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</si>
  <si>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</si>
  <si>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</si>
  <si>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</si>
  <si>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</si>
  <si>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</si>
  <si>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</si>
  <si>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</si>
  <si>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</si>
  <si>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</si>
  <si>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</si>
  <si>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</si>
  <si>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</si>
  <si>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</si>
  <si>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</si>
  <si>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</si>
  <si>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</si>
  <si>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</si>
  <si>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</si>
  <si>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</si>
  <si>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</si>
  <si>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</si>
  <si>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</si>
  <si>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</si>
  <si>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</si>
  <si>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</si>
  <si>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</si>
  <si>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</si>
  <si>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</si>
  <si>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</si>
  <si>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</si>
  <si>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</si>
  <si>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</si>
  <si>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</si>
  <si>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</si>
  <si>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</si>
  <si>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</si>
  <si>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</si>
  <si>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</si>
  <si>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</si>
  <si>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</si>
  <si>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</si>
  <si>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</si>
  <si>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</si>
  <si>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</si>
  <si>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</si>
  <si>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</si>
  <si>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</si>
  <si>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</si>
  <si>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</si>
  <si>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</si>
  <si>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</si>
  <si>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</si>
  <si>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</si>
  <si>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</si>
  <si>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</si>
  <si>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</si>
  <si>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</si>
  <si>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</si>
  <si>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</si>
  <si>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</si>
  <si>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</si>
  <si>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</si>
  <si>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</si>
  <si>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</si>
  <si>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</si>
  <si>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</si>
  <si>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</si>
  <si>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</si>
  <si>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</si>
  <si>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</si>
  <si>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</si>
  <si>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</si>
  <si>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</si>
  <si>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</si>
  <si>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</si>
  <si>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</si>
  <si>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</si>
  <si>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</si>
  <si>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</si>
  <si>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</si>
  <si>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</si>
  <si>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</si>
  <si>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</si>
  <si>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</si>
  <si>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</si>
  <si>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</si>
  <si>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</si>
  <si>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</si>
  <si>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</si>
  <si>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</si>
  <si>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</si>
  <si>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</si>
  <si>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</si>
  <si>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</si>
  <si>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NW</t>
  </si>
  <si>
    <t>CLEAR</t>
  </si>
  <si>
    <t>SMOOTH</t>
  </si>
  <si>
    <t xml:space="preserve">Bolinus/Hexaplex da stimare dallo scarto. </t>
  </si>
  <si>
    <t>540 NERO</t>
  </si>
  <si>
    <t>D</t>
  </si>
  <si>
    <t>M</t>
  </si>
  <si>
    <t>A</t>
  </si>
  <si>
    <t>F</t>
  </si>
  <si>
    <t>Numero cassette:  6. Misurato subcampione di soglione a bordo dai Rapidi A e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</si>
</sst>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E1" workbookViewId="0">
      <selection activeCell="P3" sqref="P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.5546875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63</v>
      </c>
      <c r="B2" s="24">
        <v>45984</v>
      </c>
      <c r="C2" s="25">
        <v>0.61736111111111114</v>
      </c>
      <c r="D2" s="6">
        <v>44</v>
      </c>
      <c r="E2" s="6">
        <v>13.877000000000001</v>
      </c>
      <c r="F2" s="6">
        <v>12</v>
      </c>
      <c r="G2" s="6">
        <v>35.292000000000002</v>
      </c>
      <c r="H2" s="6">
        <v>150</v>
      </c>
      <c r="I2" s="6">
        <v>17</v>
      </c>
      <c r="J2" s="6">
        <v>5.5</v>
      </c>
      <c r="K2" s="6">
        <v>155</v>
      </c>
      <c r="L2" s="6" t="s">
        <v>2597</v>
      </c>
      <c r="M2" s="6" t="s">
        <v>2599</v>
      </c>
      <c r="N2" s="6" t="s">
        <v>2598</v>
      </c>
      <c r="P2" s="6" t="s">
        <v>2606</v>
      </c>
      <c r="Q2" s="25">
        <v>0.6381944444444444</v>
      </c>
      <c r="R2" s="6">
        <v>44</v>
      </c>
      <c r="S2" s="6">
        <v>11.427</v>
      </c>
      <c r="T2" s="6">
        <v>13</v>
      </c>
      <c r="U2" s="6">
        <v>37.04</v>
      </c>
      <c r="V2" s="6">
        <v>15</v>
      </c>
    </row>
    <row r="10" spans="1:22" x14ac:dyDescent="0.3">
      <c r="D10" s="6" t="s">
        <v>28</v>
      </c>
    </row>
  </sheetData>
  <pageMargins left="0.7" right="0.7" top="0.75" bottom="0.75" header="0.3" footer="0.3"/>
  <headerFooter>
    <oddFooter>&amp;L_x000D_&amp;1#&amp;"Aptos"&amp;10&amp;K000000 NSF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G3" sqref="G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46.10937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63</v>
      </c>
      <c r="B2" s="6">
        <v>212</v>
      </c>
      <c r="C2" s="6">
        <v>82</v>
      </c>
      <c r="D2" s="6">
        <v>202</v>
      </c>
      <c r="E2" s="6">
        <v>76</v>
      </c>
      <c r="F2" s="6" t="s">
        <v>2601</v>
      </c>
      <c r="G2" s="6">
        <v>5</v>
      </c>
      <c r="H2" s="6" t="s">
        <v>2600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  <headerFooter>
    <oddFooter>&amp;L_x000D_&amp;1#&amp;"Aptos"&amp;10&amp;K000000 NSF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5"/>
  <sheetViews>
    <sheetView zoomScaleNormal="80" zoomScaleSheetLayoutView="100" workbookViewId="0">
      <selection activeCell="H8" sqref="H8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  <row r="2" spans="1:8" x14ac:dyDescent="0.3">
      <c r="A2" t="s">
        <v>2602</v>
      </c>
      <c r="B2" s="16" t="s">
        <v>38</v>
      </c>
      <c r="C2" s="16">
        <v>182</v>
      </c>
      <c r="D2" s="16">
        <v>37</v>
      </c>
      <c r="E2" s="16" t="s">
        <v>2603</v>
      </c>
      <c r="F2" s="16">
        <v>1</v>
      </c>
    </row>
    <row r="3" spans="1:8" x14ac:dyDescent="0.3">
      <c r="A3" t="s">
        <v>2602</v>
      </c>
      <c r="B3" s="16" t="s">
        <v>38</v>
      </c>
      <c r="C3" s="16">
        <v>201</v>
      </c>
      <c r="D3" s="16">
        <v>51</v>
      </c>
      <c r="E3" s="16" t="s">
        <v>2603</v>
      </c>
      <c r="F3" s="16">
        <v>1</v>
      </c>
    </row>
    <row r="4" spans="1:8" x14ac:dyDescent="0.3">
      <c r="A4" t="s">
        <v>2604</v>
      </c>
      <c r="B4" s="16" t="s">
        <v>38</v>
      </c>
      <c r="C4" s="16">
        <v>230</v>
      </c>
      <c r="D4" s="16">
        <v>78</v>
      </c>
      <c r="E4" s="16" t="s">
        <v>2605</v>
      </c>
      <c r="F4" s="16">
        <v>2</v>
      </c>
    </row>
    <row r="5" spans="1:8" x14ac:dyDescent="0.3">
      <c r="A5" t="s">
        <v>2604</v>
      </c>
      <c r="B5" s="16" t="s">
        <v>38</v>
      </c>
      <c r="C5" s="16">
        <v>197</v>
      </c>
      <c r="D5" s="16">
        <v>48</v>
      </c>
      <c r="E5" s="16" t="s">
        <v>2603</v>
      </c>
      <c r="F5" s="16">
        <v>1</v>
      </c>
    </row>
  </sheetData>
  <pageMargins left="0.7" right="0.7" top="0.75" bottom="0.75" header="0.3" footer="0.3"/>
  <headerFooter>
    <oddFooter>&amp;L_x000D_&amp;1#&amp;"Aptos"&amp;10&amp;K000000 NSF Confidential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B6:B400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  <headerFooter>
    <oddFooter>&amp;L_x000D_&amp;1#&amp;"Aptos"&amp;10&amp;K000000 NSF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59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headerFooter>
    <oddFooter>&amp;L_x000D_&amp;1#&amp;"Aptos"&amp;10&amp;K000000 NSF Confidential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2025-11-23T16:30:54Z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b518dc-1afa-45e0-aaef-f556f62dbfcd_Enabled">
    <vt:lpwstr>true</vt:lpwstr>
  </property>
  <property fmtid="{D5CDD505-2E9C-101B-9397-08002B2CF9AE}" pid="3" name="MSIP_Label_26b518dc-1afa-45e0-aaef-f556f62dbfcd_SetDate">
    <vt:lpwstr>2025-11-23T08:46:26Z</vt:lpwstr>
  </property>
  <property fmtid="{D5CDD505-2E9C-101B-9397-08002B2CF9AE}" pid="4" name="MSIP_Label_26b518dc-1afa-45e0-aaef-f556f62dbfcd_Method">
    <vt:lpwstr>Standard</vt:lpwstr>
  </property>
  <property fmtid="{D5CDD505-2E9C-101B-9397-08002B2CF9AE}" pid="5" name="MSIP_Label_26b518dc-1afa-45e0-aaef-f556f62dbfcd_Name">
    <vt:lpwstr>All-Audiences_Confidential-PROD</vt:lpwstr>
  </property>
  <property fmtid="{D5CDD505-2E9C-101B-9397-08002B2CF9AE}" pid="6" name="MSIP_Label_26b518dc-1afa-45e0-aaef-f556f62dbfcd_SiteId">
    <vt:lpwstr>400696bb-3ef5-44ed-b838-ceb5afd17d90</vt:lpwstr>
  </property>
  <property fmtid="{D5CDD505-2E9C-101B-9397-08002B2CF9AE}" pid="7" name="MSIP_Label_26b518dc-1afa-45e0-aaef-f556f62dbfcd_ActionId">
    <vt:lpwstr>8f04fe88-1cb6-4f2c-b6d4-e1d3a86cf887</vt:lpwstr>
  </property>
  <property fmtid="{D5CDD505-2E9C-101B-9397-08002B2CF9AE}" pid="8" name="MSIP_Label_26b518dc-1afa-45e0-aaef-f556f62dbfcd_ContentBits">
    <vt:lpwstr>2</vt:lpwstr>
  </property>
  <property fmtid="{D5CDD505-2E9C-101B-9397-08002B2CF9AE}" pid="9" name="MSIP_Label_26b518dc-1afa-45e0-aaef-f556f62dbfcd_Tag">
    <vt:lpwstr>10, 3, 0, 1</vt:lpwstr>
  </property>
</Properties>
</file>