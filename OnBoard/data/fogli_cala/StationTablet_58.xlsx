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300F0F1F-4003-418F-B047-2BEB2EA46FE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<sst xmlns="http://schemas.openxmlformats.org/spreadsheetml/2006/main" count="2660" uniqueCount="2605">
  <si>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</si>
  <si>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</si>
  <si>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</si>
  <si>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</si>
  <si>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</si>
  <si>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</si>
  <si>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</si>
  <si>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</si>
  <si>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</si>
  <si>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</si>
  <si>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</si>
  <si>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</si>
  <si>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</si>
  <si>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</si>
  <si>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</si>
  <si>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</si>
  <si>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</si>
  <si>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</si>
  <si>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</si>
  <si>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</si>
  <si>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</si>
  <si>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</si>
  <si>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</si>
  <si>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</si>
  <si>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</si>
  <si>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</si>
  <si>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</si>
  <si>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</si>
  <si>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</si>
  <si>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</si>
  <si>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</si>
  <si>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</si>
  <si>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</si>
  <si>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</si>
  <si>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</si>
  <si>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</si>
  <si>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</si>
  <si>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</si>
  <si>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</si>
  <si>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</si>
  <si>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</si>
  <si>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</si>
  <si>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</si>
  <si>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</si>
  <si>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</si>
  <si>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</si>
  <si>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</si>
  <si>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</si>
  <si>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</si>
  <si>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</si>
  <si>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</si>
  <si>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</si>
  <si>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</si>
  <si>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</si>
  <si>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</si>
  <si>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</si>
  <si>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</si>
  <si>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</si>
  <si>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</si>
  <si>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</si>
  <si>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</si>
  <si>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</si>
  <si>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</si>
  <si>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</si>
  <si>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</si>
  <si>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</si>
  <si>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</si>
  <si>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</si>
  <si>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</si>
  <si>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</si>
  <si>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</si>
  <si>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</si>
  <si>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</si>
  <si>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</si>
  <si>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</si>
  <si>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</si>
  <si>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</si>
  <si>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</si>
  <si>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</si>
  <si>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</si>
  <si>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</si>
  <si>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</si>
  <si>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</si>
  <si>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</si>
  <si>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</si>
  <si>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</si>
  <si>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</si>
  <si>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</si>
  <si>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</si>
  <si>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</si>
  <si>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</si>
  <si>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</si>
  <si>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</si>
  <si>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</si>
  <si>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</si>
  <si>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</si>
  <si>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</si>
  <si>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</si>
  <si>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</si>
  <si>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</si>
  <si>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</si>
  <si>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</si>
  <si>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</si>
  <si>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</si>
  <si>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</si>
  <si>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</si>
  <si>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</si>
  <si>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</si>
  <si>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</si>
  <si>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</si>
  <si>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</si>
  <si>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</si>
  <si>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</si>
  <si>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</si>
  <si>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</si>
  <si>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</si>
  <si>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</si>
  <si>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</si>
  <si>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</si>
  <si>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</si>
  <si>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</si>
  <si>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</si>
  <si>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</si>
  <si>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</si>
  <si>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</si>
  <si>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</si>
  <si>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</si>
  <si>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</si>
  <si>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</si>
  <si>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</si>
  <si>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</si>
  <si>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</si>
  <si>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</si>
  <si>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</si>
  <si>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</si>
  <si>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</si>
  <si>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</si>
  <si>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</si>
  <si>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</si>
  <si>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</si>
  <si>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</si>
  <si>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</si>
  <si>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</si>
  <si>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</si>
  <si>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</si>
  <si>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</si>
  <si>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</si>
  <si>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</si>
  <si>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</si>
  <si>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</si>
  <si>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</si>
  <si>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</si>
  <si>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</si>
  <si>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</si>
  <si>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</si>
  <si>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</si>
  <si>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</si>
  <si>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</si>
  <si>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</si>
  <si>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</si>
  <si>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</si>
  <si>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</si>
  <si>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</si>
  <si>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</si>
  <si>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</si>
  <si>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</si>
  <si>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</si>
  <si>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</si>
  <si>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</si>
  <si>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</si>
  <si>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</si>
  <si>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</si>
  <si>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</si>
  <si>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</si>
  <si>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</si>
  <si>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</si>
  <si>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</si>
  <si>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</si>
  <si>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</si>
  <si>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</si>
  <si>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</si>
  <si>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</si>
  <si>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</si>
  <si>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</si>
  <si>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</si>
  <si>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</si>
  <si>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</si>
  <si>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</si>
  <si>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</si>
  <si>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</si>
  <si>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</si>
  <si>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</si>
  <si>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</si>
  <si>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</si>
  <si>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</si>
  <si>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</si>
  <si>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</si>
  <si>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</si>
  <si>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</si>
  <si>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</si>
  <si>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</si>
  <si>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</si>
  <si>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</si>
  <si>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</si>
  <si>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</si>
  <si>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</si>
  <si>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</si>
  <si>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</si>
  <si>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</si>
  <si>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</si>
  <si>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</si>
  <si>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</si>
  <si>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</si>
  <si>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</si>
  <si>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</si>
  <si>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</si>
  <si>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</si>
  <si>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</si>
  <si>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</si>
  <si>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</si>
  <si>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</si>
  <si>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</si>
  <si>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</si>
  <si>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</si>
  <si>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</si>
  <si>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</si>
  <si>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</si>
  <si>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</si>
  <si>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</si>
  <si>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</si>
  <si>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</si>
  <si>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</si>
  <si>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</si>
  <si>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</si>
  <si>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</si>
  <si>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</si>
  <si>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</si>
  <si>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</si>
  <si>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</si>
  <si>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</si>
  <si>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</si>
  <si>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</si>
  <si>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</si>
  <si>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</si>
  <si>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</si>
  <si>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</si>
  <si>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</si>
  <si>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</si>
  <si>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</si>
  <si>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</si>
  <si>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</si>
  <si>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</si>
  <si>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</si>
  <si>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</si>
  <si>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</si>
  <si>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</si>
  <si>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</si>
  <si>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</si>
  <si>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</si>
  <si>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</si>
  <si>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</si>
  <si>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</si>
  <si>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</si>
  <si>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</si>
  <si>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</si>
  <si>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</si>
  <si>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</si>
  <si>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</si>
  <si>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</si>
  <si>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</si>
  <si>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</si>
  <si>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</si>
  <si>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</si>
  <si>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</si>
  <si>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</si>
  <si>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</si>
  <si>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</si>
  <si>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</si>
  <si>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</si>
  <si>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</si>
  <si>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</si>
  <si>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</si>
  <si>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</si>
  <si>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</si>
  <si>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</si>
  <si>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</si>
  <si>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</si>
  <si>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</si>
  <si>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</si>
  <si>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</si>
  <si>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</si>
  <si>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</si>
  <si>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</si>
  <si>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</si>
  <si>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</si>
  <si>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</si>
  <si>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</si>
  <si>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</si>
  <si>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</si>
  <si>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</si>
  <si>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</si>
  <si>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</si>
  <si>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</si>
  <si>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</si>
  <si>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</si>
  <si>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</si>
  <si>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</si>
  <si>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</si>
  <si>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</si>
  <si>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</si>
  <si>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</si>
  <si>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</si>
  <si>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</si>
  <si>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</si>
  <si>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</si>
  <si>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</si>
  <si>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</si>
  <si>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</si>
  <si>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</si>
  <si>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</si>
  <si>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</si>
  <si>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</si>
  <si>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</si>
  <si>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</si>
  <si>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</si>
  <si>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</si>
  <si>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</si>
  <si>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</si>
  <si>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</si>
  <si>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</si>
  <si>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</si>
  <si>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</si>
  <si>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</si>
  <si>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</si>
  <si>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</si>
  <si>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</si>
  <si>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</si>
  <si>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</si>
  <si>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</si>
  <si>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</si>
  <si>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</si>
  <si>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</si>
  <si>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</si>
  <si>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</si>
  <si>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</si>
  <si>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</si>
  <si>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</si>
  <si>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</si>
  <si>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</si>
  <si>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</si>
  <si>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</si>
  <si>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</si>
  <si>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</si>
  <si>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</si>
  <si>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</si>
  <si>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</si>
  <si>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</si>
  <si>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</si>
  <si>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</si>
  <si>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</si>
  <si>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</si>
  <si>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</si>
  <si>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</si>
  <si>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</si>
  <si>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</si>
  <si>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</si>
  <si>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</si>
  <si>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</si>
  <si>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</si>
  <si>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</si>
  <si>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</si>
  <si>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</si>
  <si>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</si>
  <si>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</si>
  <si>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</si>
  <si>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</si>
  <si>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</si>
  <si>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</si>
  <si>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</si>
  <si>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</si>
  <si>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</si>
  <si>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</si>
  <si>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</si>
  <si>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</si>
  <si>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</si>
  <si>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</si>
  <si>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</si>
  <si>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</si>
  <si>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</si>
  <si>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</si>
  <si>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</si>
  <si>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</si>
  <si>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</si>
  <si>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</si>
  <si>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</si>
  <si>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</si>
  <si>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</si>
  <si>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</si>
  <si>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</si>
  <si>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</si>
  <si>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</si>
  <si>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</si>
  <si>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</si>
  <si>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</si>
  <si>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</si>
  <si>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</si>
  <si>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</si>
  <si>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</si>
  <si>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</si>
  <si>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</si>
  <si>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</si>
  <si>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</si>
  <si>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</si>
  <si>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</si>
  <si>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</si>
  <si>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</si>
  <si>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</si>
  <si>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</si>
  <si>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</si>
  <si>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</si>
  <si>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</si>
  <si>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</si>
  <si>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</si>
  <si>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</si>
  <si>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</si>
  <si>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</si>
  <si>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</si>
  <si>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</si>
  <si>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</si>
  <si>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</si>
  <si>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</si>
  <si>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</si>
  <si>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</si>
  <si>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</si>
  <si>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</si>
  <si>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</si>
  <si>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</si>
  <si>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</si>
  <si>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</si>
  <si>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</si>
  <si>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</si>
  <si>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</si>
  <si>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</si>
  <si>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</si>
  <si>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</si>
  <si>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</si>
  <si>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</si>
  <si>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</si>
  <si>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</si>
  <si>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</si>
  <si>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</si>
  <si>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</si>
  <si>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</si>
  <si>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</si>
  <si>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</si>
  <si>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</si>
  <si>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</si>
  <si>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</si>
  <si>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</si>
  <si>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</si>
  <si>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</si>
  <si>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</si>
  <si>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</si>
  <si>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</si>
  <si>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</si>
  <si>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</si>
  <si>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</si>
  <si>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</si>
  <si>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</si>
  <si>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</si>
  <si>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</si>
  <si>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</si>
  <si>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</si>
  <si>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</si>
  <si>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</si>
  <si>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</si>
  <si>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</si>
  <si>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</si>
  <si>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</si>
  <si>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</si>
  <si>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</si>
  <si>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</si>
  <si>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</si>
  <si>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</si>
  <si>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</si>
  <si>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</si>
  <si>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</si>
  <si>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</si>
  <si>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</si>
  <si>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</si>
  <si>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</si>
  <si>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</si>
  <si>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</si>
  <si>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</si>
  <si>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</si>
  <si>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</si>
  <si>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</si>
  <si>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</si>
  <si>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</si>
  <si>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</si>
  <si>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</si>
  <si>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</si>
  <si>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</si>
  <si>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</si>
  <si>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</si>
  <si>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</si>
  <si>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</si>
  <si>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</si>
  <si>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</si>
  <si>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</si>
  <si>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</si>
  <si>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</si>
  <si>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</si>
  <si>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</si>
  <si>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</si>
  <si>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</si>
  <si>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</si>
  <si>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</si>
  <si>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</si>
  <si>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</si>
  <si>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</si>
  <si>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</si>
  <si>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</si>
  <si>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</si>
  <si>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</si>
  <si>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</si>
  <si>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</si>
  <si>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</si>
  <si>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</si>
  <si>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</si>
  <si>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</si>
  <si>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</si>
  <si>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</si>
  <si>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</si>
  <si>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</si>
  <si>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</si>
  <si>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</si>
  <si>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</si>
  <si>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</si>
  <si>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</si>
  <si>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</si>
  <si>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</si>
  <si>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</si>
  <si>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</si>
  <si>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</si>
  <si>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</si>
  <si>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</si>
  <si>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</si>
  <si>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</si>
  <si>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</si>
  <si>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</si>
  <si>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</si>
  <si>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</si>
  <si>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</si>
  <si>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</si>
  <si>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</si>
  <si>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</si>
  <si>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</si>
  <si>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</si>
  <si>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</si>
  <si>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</si>
  <si>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</si>
  <si>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</si>
  <si>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</si>
  <si>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</si>
  <si>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</si>
  <si>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</si>
  <si>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</si>
  <si>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</si>
  <si>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</si>
  <si>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</si>
  <si>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</si>
  <si>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</si>
  <si>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</si>
  <si>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</si>
  <si>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</si>
  <si>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</si>
  <si>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</si>
  <si>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</si>
  <si>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</si>
  <si>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</si>
  <si>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</si>
  <si>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</si>
  <si>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</si>
  <si>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</si>
  <si>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</si>
  <si>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</si>
  <si>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</si>
  <si>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</si>
  <si>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</si>
  <si>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</si>
  <si>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</si>
  <si>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</si>
  <si>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</si>
  <si>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</si>
  <si>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</si>
  <si>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</si>
  <si>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</si>
  <si>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</si>
  <si>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</si>
  <si>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</si>
  <si>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</si>
  <si>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</si>
  <si>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</si>
  <si>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</si>
  <si>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</si>
  <si>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</si>
  <si>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</si>
  <si>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</si>
  <si>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</si>
  <si>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</si>
  <si>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</si>
  <si>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</si>
  <si>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</si>
  <si>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</si>
  <si>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</si>
  <si>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</si>
  <si>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</si>
  <si>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</si>
  <si>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</si>
  <si>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</si>
  <si>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</si>
  <si>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</si>
  <si>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</si>
  <si>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</si>
  <si>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</si>
  <si>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</si>
  <si>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</si>
  <si>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</si>
  <si>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</si>
  <si>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</si>
  <si>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</si>
  <si>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</si>
  <si>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</si>
  <si>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</si>
  <si>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</si>
  <si>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</si>
  <si>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</si>
  <si>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</si>
  <si>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</si>
  <si>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</si>
  <si>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</si>
  <si>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</si>
  <si>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</si>
  <si>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</si>
  <si>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</si>
  <si>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</si>
  <si>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</si>
  <si>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</si>
  <si>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</si>
  <si>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</si>
  <si>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</si>
  <si>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</si>
  <si>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</si>
  <si>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</si>
  <si>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</si>
  <si>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</si>
  <si>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</si>
  <si>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</si>
  <si>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</si>
  <si>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</si>
  <si>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</si>
  <si>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</si>
  <si>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</si>
  <si>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</si>
  <si>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</si>
  <si>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</si>
  <si>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</si>
  <si>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</si>
  <si>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</si>
  <si>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</si>
  <si>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</si>
  <si>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</si>
  <si>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</si>
  <si>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</si>
  <si>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</si>
  <si>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</si>
  <si>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</si>
  <si>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</si>
  <si>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</si>
  <si>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</si>
  <si>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</si>
  <si>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</si>
  <si>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</si>
  <si>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</si>
  <si>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</si>
  <si>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</si>
  <si>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</si>
  <si>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</si>
  <si>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</si>
  <si>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</si>
  <si>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</si>
  <si>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</si>
  <si>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</si>
  <si>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</si>
  <si>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</si>
  <si>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</si>
  <si>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</si>
  <si>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</si>
  <si>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</si>
  <si>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</si>
  <si>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</si>
  <si>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</si>
  <si>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</si>
  <si>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</si>
  <si>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</si>
  <si>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</si>
  <si>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</si>
  <si>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</si>
  <si>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</si>
  <si>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</si>
  <si>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</si>
  <si>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</si>
  <si>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</si>
  <si>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</si>
  <si>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</si>
  <si>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</si>
  <si>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</si>
  <si>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</si>
  <si>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</si>
  <si>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</si>
  <si>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</si>
  <si>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</si>
  <si>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</si>
  <si>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</si>
  <si>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</si>
  <si>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</si>
  <si>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</si>
  <si>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</si>
  <si>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</si>
  <si>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</si>
  <si>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</si>
  <si>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</si>
  <si>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</si>
  <si>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</si>
  <si>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</si>
  <si>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</si>
  <si>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</si>
  <si>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</si>
  <si>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</si>
  <si>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</si>
  <si>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</si>
  <si>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</si>
  <si>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</si>
  <si>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</si>
  <si>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</si>
  <si>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</si>
  <si>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</si>
  <si>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</si>
  <si>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</si>
  <si>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</si>
  <si>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</si>
  <si>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</si>
  <si>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</si>
  <si>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</si>
  <si>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</si>
  <si>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</si>
  <si>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</si>
  <si>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</si>
  <si>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</si>
  <si>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</si>
  <si>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</si>
  <si>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</si>
  <si>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</si>
  <si>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</si>
  <si>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</si>
  <si>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</si>
  <si>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</si>
  <si>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</si>
  <si>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</si>
  <si>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</si>
  <si>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</si>
  <si>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</si>
  <si>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</si>
  <si>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</si>
  <si>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</si>
  <si>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</si>
  <si>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</si>
  <si>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</si>
  <si>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</si>
  <si>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</si>
  <si>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</si>
  <si>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</si>
  <si>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</si>
  <si>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</si>
  <si>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</si>
  <si>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</si>
  <si>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</si>
  <si>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</si>
  <si>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</si>
  <si>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</si>
  <si>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</si>
  <si>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</si>
  <si>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</si>
  <si>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</si>
  <si>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</si>
  <si>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</si>
  <si>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</si>
  <si>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</si>
  <si>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</si>
  <si>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</si>
  <si>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</si>
  <si>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</si>
  <si>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</si>
  <si>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</si>
  <si>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</si>
  <si>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</si>
  <si>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</si>
  <si>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</si>
  <si>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</si>
  <si>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</si>
  <si>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</si>
  <si>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</si>
  <si>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</si>
  <si>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</si>
  <si>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</si>
  <si>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</si>
  <si>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</si>
  <si>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</si>
  <si>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</si>
  <si>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</si>
  <si>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</si>
  <si>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</si>
  <si>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</si>
  <si>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</si>
  <si>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</si>
  <si>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</si>
  <si>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</si>
  <si>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</si>
  <si>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</si>
  <si>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</si>
  <si>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</si>
  <si>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</si>
  <si>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</si>
  <si>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</si>
  <si>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</si>
  <si>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</si>
  <si>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</si>
  <si>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</si>
  <si>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</si>
  <si>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</si>
  <si>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</si>
  <si>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</si>
  <si>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</si>
  <si>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</si>
  <si>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</si>
  <si>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</si>
  <si>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</si>
  <si>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</si>
  <si>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</si>
  <si>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</si>
  <si>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</si>
  <si>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</si>
  <si>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</si>
  <si>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</si>
  <si>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</si>
  <si>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</si>
  <si>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</si>
  <si>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</si>
  <si>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</si>
  <si>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</si>
  <si>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</si>
  <si>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</si>
  <si>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</si>
  <si>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</si>
  <si>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</si>
  <si>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</si>
  <si>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</si>
  <si>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</si>
  <si>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</si>
  <si>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</si>
  <si>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</si>
  <si>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</si>
  <si>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</si>
  <si>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</si>
  <si>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</si>
  <si>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</si>
  <si>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</si>
  <si>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</si>
  <si>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</si>
  <si>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</si>
  <si>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</si>
  <si>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</si>
  <si>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</si>
  <si>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</si>
  <si>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</si>
  <si>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</si>
  <si>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</si>
  <si>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</si>
  <si>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</si>
  <si>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</si>
  <si>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</si>
  <si>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</si>
  <si>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</si>
  <si>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</si>
  <si>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</si>
  <si>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</si>
  <si>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</si>
  <si>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</si>
  <si>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</si>
  <si>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</si>
  <si>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</si>
  <si>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</si>
  <si>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</si>
  <si>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</si>
  <si>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</si>
  <si>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</si>
  <si>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</si>
  <si>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</si>
  <si>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</si>
  <si>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</si>
  <si>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</si>
  <si>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</si>
  <si>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</si>
  <si>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</si>
  <si>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</si>
  <si>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</si>
  <si>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</si>
  <si>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</si>
  <si>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</si>
  <si>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</si>
  <si>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</si>
  <si>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</si>
  <si>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</si>
  <si>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</si>
  <si>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</si>
  <si>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</si>
  <si>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</si>
  <si>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</si>
  <si>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</si>
  <si>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</si>
  <si>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</si>
  <si>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</si>
  <si>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</si>
  <si>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</si>
  <si>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</si>
  <si>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</si>
  <si>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</si>
  <si>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</si>
  <si>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</si>
  <si>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</si>
  <si>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</si>
  <si>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</si>
  <si>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</si>
  <si>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</si>
  <si>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</si>
  <si>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</si>
  <si>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</si>
  <si>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</si>
  <si>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</si>
  <si>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</si>
  <si>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</si>
  <si>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</si>
  <si>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</si>
  <si>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</si>
  <si>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</si>
  <si>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</si>
  <si>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</si>
  <si>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</si>
  <si>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</si>
  <si>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</si>
  <si>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</si>
  <si>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</si>
  <si>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</si>
  <si>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</si>
  <si>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</si>
  <si>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</si>
  <si>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</si>
  <si>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</si>
  <si>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</si>
  <si>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</si>
  <si>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</si>
  <si>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</si>
  <si>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</si>
  <si>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</si>
  <si>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</si>
  <si>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</si>
  <si>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</si>
  <si>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</si>
  <si>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</si>
  <si>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</si>
  <si>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</si>
  <si>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</si>
  <si>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</si>
  <si>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</si>
  <si>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</si>
  <si>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</si>
  <si>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</si>
  <si>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</si>
  <si>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</si>
  <si>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</si>
  <si>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</si>
  <si>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</si>
  <si>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</si>
  <si>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</si>
  <si>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</si>
  <si>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</si>
  <si>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</si>
  <si>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</si>
  <si>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</si>
  <si>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</si>
  <si>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</si>
  <si>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</si>
  <si>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</si>
  <si>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</si>
  <si>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</si>
  <si>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</si>
  <si>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</si>
  <si>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</si>
  <si>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</si>
  <si>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</si>
  <si>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</si>
  <si>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</si>
  <si>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</si>
  <si>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</si>
  <si>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</si>
  <si>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</si>
  <si>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</si>
  <si>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</si>
  <si>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</si>
  <si>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</si>
  <si>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</si>
  <si>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</si>
  <si>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</si>
  <si>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</si>
  <si>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</si>
  <si>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</si>
  <si>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</si>
  <si>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</si>
  <si>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</si>
  <si>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</si>
  <si>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</si>
  <si>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</si>
  <si>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</si>
  <si>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</si>
  <si>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</si>
  <si>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</si>
  <si>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</si>
  <si>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</si>
  <si>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</si>
  <si>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</si>
  <si>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</si>
  <si>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</si>
  <si>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</si>
  <si>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</si>
  <si>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</si>
  <si>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</si>
  <si>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</si>
  <si>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</si>
  <si>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</si>
  <si>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</si>
  <si>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</si>
  <si>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</si>
  <si>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</si>
  <si>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</si>
  <si>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</si>
  <si>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</si>
  <si>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</si>
  <si>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</si>
  <si>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</si>
  <si>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</si>
  <si>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</si>
  <si>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</si>
  <si>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</si>
  <si>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</si>
  <si>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</si>
  <si>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</si>
  <si>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</si>
  <si>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</si>
  <si>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</si>
  <si>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</si>
  <si>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</si>
  <si>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</si>
  <si>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</si>
  <si>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</si>
  <si>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</si>
  <si>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</si>
  <si>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</si>
  <si>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</si>
  <si>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</si>
  <si>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</si>
  <si>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</si>
  <si>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</si>
  <si>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</si>
  <si>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</si>
  <si>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</si>
  <si>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</si>
  <si>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</si>
  <si>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</si>
  <si>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</si>
  <si>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</si>
  <si>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</si>
  <si>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</si>
  <si>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</si>
  <si>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</si>
  <si>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</si>
  <si>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</si>
  <si>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</si>
  <si>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</si>
  <si>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</si>
  <si>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</si>
  <si>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</si>
  <si>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</si>
  <si>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</si>
  <si>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</si>
  <si>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</si>
  <si>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</si>
  <si>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</si>
  <si>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</si>
  <si>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</si>
  <si>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</si>
  <si>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</si>
  <si>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</si>
  <si>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</si>
  <si>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</si>
  <si>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</si>
  <si>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</si>
  <si>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</si>
  <si>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</si>
  <si>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</si>
  <si>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</si>
  <si>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</si>
  <si>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</si>
  <si>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</si>
  <si>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</si>
  <si>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</si>
  <si>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</si>
  <si>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</si>
  <si>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</si>
  <si>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</si>
  <si>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</si>
  <si>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</si>
  <si>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</si>
  <si>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</si>
  <si>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</si>
  <si>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</si>
  <si>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</si>
  <si>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</si>
  <si>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</si>
  <si>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</si>
  <si>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</si>
  <si>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</si>
  <si>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</si>
  <si>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</si>
  <si>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</si>
  <si>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</si>
  <si>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</si>
  <si>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</si>
  <si>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</si>
  <si>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</si>
  <si>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</si>
  <si>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</si>
  <si>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</si>
  <si>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</si>
  <si>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</si>
  <si>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</si>
  <si>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</si>
  <si>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</si>
  <si>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</si>
  <si>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</si>
  <si>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</si>
  <si>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</si>
  <si>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</si>
  <si>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</si>
  <si>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</si>
  <si>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</si>
  <si>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</si>
  <si>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</si>
  <si>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</si>
  <si>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</si>
  <si>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</si>
  <si>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</si>
  <si>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</si>
  <si>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</si>
  <si>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</si>
  <si>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</si>
  <si>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</si>
  <si>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</si>
  <si>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</si>
  <si>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</si>
  <si>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</si>
  <si>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</si>
  <si>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</si>
  <si>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</si>
  <si>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</si>
  <si>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</si>
  <si>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</si>
  <si>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</si>
  <si>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</si>
  <si>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</si>
  <si>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</si>
  <si>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</si>
  <si>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</si>
  <si>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</si>
  <si>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</si>
  <si>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</si>
  <si>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</si>
  <si>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</si>
  <si>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</si>
  <si>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</si>
  <si>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</si>
  <si>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</si>
  <si>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</si>
  <si>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</si>
  <si>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</si>
  <si>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</si>
  <si>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</si>
  <si>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</si>
  <si>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</si>
  <si>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</si>
  <si>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</si>
  <si>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</si>
  <si>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</si>
  <si>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</si>
  <si>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</si>
  <si>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</si>
  <si>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</si>
  <si>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</si>
  <si>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</si>
  <si>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</si>
  <si>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</si>
  <si>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</si>
  <si>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</si>
  <si>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</si>
  <si>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</si>
  <si>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</si>
  <si>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</si>
  <si>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</si>
  <si>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</si>
  <si>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</si>
  <si>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</si>
  <si>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</si>
  <si>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</si>
  <si>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</si>
  <si>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</si>
  <si>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</si>
  <si>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</si>
  <si>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</si>
  <si>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</si>
  <si>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</si>
  <si>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</si>
  <si>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</si>
  <si>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</si>
  <si>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</si>
  <si>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</si>
  <si>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</si>
  <si>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</si>
  <si>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</si>
  <si>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</si>
  <si>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</si>
  <si>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</si>
  <si>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</si>
  <si>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</si>
  <si>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</si>
  <si>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</si>
  <si>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</si>
  <si>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</si>
  <si>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</si>
  <si>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</si>
  <si>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</si>
  <si>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</si>
  <si>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</si>
  <si>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</si>
  <si>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</si>
  <si>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</si>
  <si>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</si>
  <si>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</si>
  <si>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</si>
  <si>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</si>
  <si>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</si>
  <si>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</si>
  <si>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</si>
  <si>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</si>
  <si>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</si>
  <si>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</si>
  <si>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</si>
  <si>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</si>
  <si>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</si>
  <si>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</si>
  <si>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</si>
  <si>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</si>
  <si>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</si>
  <si>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</si>
  <si>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</si>
  <si>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</si>
  <si>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</si>
  <si>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</si>
  <si>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</si>
  <si>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</si>
  <si>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</si>
  <si>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</si>
  <si>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</si>
  <si>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</si>
  <si>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</si>
  <si>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</si>
  <si>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</si>
  <si>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</si>
  <si>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</si>
  <si>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</si>
  <si>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</si>
  <si>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</si>
  <si>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</si>
  <si>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</si>
  <si>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</si>
  <si>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</si>
  <si>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</si>
  <si>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</si>
  <si>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</si>
  <si>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</si>
  <si>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</si>
  <si>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</si>
  <si>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</si>
  <si>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</si>
  <si>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</si>
  <si>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</si>
  <si>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</si>
  <si>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</si>
  <si>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</si>
  <si>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</si>
  <si>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</si>
  <si>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</si>
  <si>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</si>
  <si>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</si>
  <si>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</si>
  <si>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</si>
  <si>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</si>
  <si>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</si>
  <si>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</si>
  <si>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</si>
  <si>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</si>
  <si>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</si>
  <si>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</si>
  <si>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</si>
  <si>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</si>
  <si>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</si>
  <si>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</si>
  <si>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</si>
  <si>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</si>
  <si>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</si>
  <si>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</si>
  <si>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</si>
  <si>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</si>
  <si>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</si>
  <si>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</si>
  <si>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</si>
  <si>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</si>
  <si>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</si>
  <si>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</si>
  <si>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</si>
  <si>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</si>
  <si>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</si>
  <si>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</si>
  <si>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</si>
  <si>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</si>
  <si>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</si>
  <si>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</si>
  <si>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</si>
  <si>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</si>
  <si>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</si>
  <si>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</si>
  <si>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</si>
  <si>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</si>
  <si>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</si>
  <si>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</si>
  <si>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</si>
  <si>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</si>
  <si>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</si>
  <si>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</si>
  <si>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</si>
  <si>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</si>
  <si>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</si>
  <si>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</si>
  <si>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</si>
  <si>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</si>
  <si>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</si>
  <si>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</si>
  <si>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</si>
  <si>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</si>
  <si>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</si>
  <si>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</si>
  <si>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</si>
  <si>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</si>
  <si>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</si>
  <si>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</si>
  <si>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</si>
  <si>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</si>
  <si>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</si>
  <si>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</si>
  <si>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</si>
  <si>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</si>
  <si>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</si>
  <si>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</si>
  <si>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</si>
  <si>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</si>
  <si>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</si>
  <si>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</si>
  <si>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</si>
  <si>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</si>
  <si>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</si>
  <si>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</si>
  <si>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</si>
  <si>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</si>
  <si>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</si>
  <si>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</si>
  <si>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</si>
  <si>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</si>
  <si>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</si>
  <si>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</si>
  <si>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</si>
  <si>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</si>
  <si>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</si>
  <si>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</si>
  <si>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</si>
  <si>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</si>
  <si>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</si>
  <si>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</si>
  <si>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</si>
  <si>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</si>
  <si>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</si>
  <si>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</si>
  <si>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</si>
  <si>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</si>
  <si>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</si>
  <si>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</si>
  <si>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</si>
  <si>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</si>
  <si>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</si>
  <si>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</si>
  <si>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</si>
  <si>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</si>
  <si>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</si>
  <si>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</si>
  <si>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</si>
  <si>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</si>
  <si>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</si>
  <si>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</si>
  <si>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</si>
  <si>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</si>
  <si>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</si>
  <si>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</si>
  <si>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</si>
  <si>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</si>
  <si>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</si>
  <si>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</si>
  <si>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</si>
  <si>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</si>
  <si>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</si>
  <si>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</si>
  <si>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</si>
  <si>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</si>
  <si>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</si>
  <si>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</si>
  <si>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</si>
  <si>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</si>
  <si>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</si>
  <si>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</si>
  <si>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</si>
  <si>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</si>
  <si>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</si>
  <si>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</si>
  <si>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</si>
  <si>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</si>
  <si>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</si>
  <si>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</si>
  <si>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</si>
  <si>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</si>
  <si>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</si>
  <si>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</si>
  <si>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</si>
  <si>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</si>
  <si>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</si>
  <si>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</si>
  <si>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</si>
  <si>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</si>
  <si>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</si>
  <si>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</si>
  <si>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</si>
  <si>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</si>
  <si>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</si>
  <si>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</si>
  <si>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</si>
  <si>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</si>
  <si>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</si>
  <si>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</si>
  <si>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</si>
  <si>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</si>
  <si>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</si>
  <si>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</si>
  <si>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</si>
  <si>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</si>
  <si>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</si>
  <si>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</si>
  <si>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</si>
  <si>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</si>
  <si>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</si>
  <si>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</si>
  <si>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</si>
  <si>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</si>
  <si>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</si>
  <si>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</si>
  <si>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</si>
  <si>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</si>
  <si>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</si>
  <si>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</si>
  <si>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</si>
  <si>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</si>
  <si>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</si>
  <si>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</si>
  <si>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</si>
  <si>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</si>
  <si>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</si>
  <si>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</si>
  <si>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</si>
  <si>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</si>
  <si>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</si>
  <si>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</si>
  <si>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</si>
  <si>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</si>
  <si>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</si>
  <si>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</si>
  <si>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</si>
  <si>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</si>
  <si>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</si>
  <si>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</si>
  <si>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</si>
  <si>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</si>
  <si>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</si>
  <si>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</si>
  <si>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</si>
  <si>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</si>
  <si>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</si>
  <si>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</si>
  <si>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</si>
  <si>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</si>
  <si>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</si>
  <si>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</si>
  <si>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</si>
  <si>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</si>
  <si>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</si>
  <si>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</si>
  <si>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</si>
  <si>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</si>
  <si>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</si>
  <si>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</si>
  <si>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</si>
  <si>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</si>
  <si>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</si>
  <si>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</si>
  <si>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</si>
  <si>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</si>
  <si>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</si>
  <si>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</si>
  <si>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</si>
  <si>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</si>
  <si>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</si>
  <si>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</si>
  <si>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</si>
  <si>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</si>
  <si>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</si>
  <si>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</si>
  <si>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</si>
  <si>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</si>
  <si>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</si>
  <si>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</si>
  <si>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</si>
  <si>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</si>
  <si>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</si>
  <si>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</si>
  <si>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</si>
  <si>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</si>
  <si>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</si>
  <si>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</si>
  <si>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</si>
  <si>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</si>
  <si>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</si>
  <si>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</si>
  <si>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</si>
  <si>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</si>
  <si>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</si>
  <si>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</si>
  <si>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</si>
  <si>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</si>
  <si>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</si>
  <si>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</si>
  <si>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</si>
  <si>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</si>
  <si>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</si>
  <si>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</si>
  <si>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</si>
  <si>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</si>
  <si>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</si>
  <si>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</si>
  <si>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</si>
  <si>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</si>
  <si>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</si>
  <si>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</si>
  <si>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</si>
  <si>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</si>
  <si>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</si>
  <si>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</si>
  <si>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</si>
  <si>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</si>
  <si>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</si>
  <si>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</si>
  <si>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</si>
  <si>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</si>
  <si>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</si>
  <si>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</si>
  <si>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</si>
  <si>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</si>
  <si>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</si>
  <si>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</si>
  <si>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</si>
  <si>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</si>
  <si>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</si>
  <si>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</si>
  <si>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</si>
  <si>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</si>
  <si>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</si>
  <si>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</si>
  <si>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</si>
  <si>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</si>
  <si>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</si>
  <si>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</si>
  <si>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</si>
  <si>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</si>
  <si>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</si>
  <si>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</si>
  <si>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</si>
  <si>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</si>
  <si>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</si>
  <si>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</si>
  <si>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</si>
  <si>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</si>
  <si>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</si>
  <si>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</si>
  <si>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</si>
  <si>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</si>
  <si>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</si>
  <si>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</si>
  <si>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</si>
  <si>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</si>
  <si>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</si>
  <si>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</si>
  <si>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</si>
  <si>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</si>
  <si>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</si>
  <si>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</si>
  <si>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</si>
  <si>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</si>
  <si>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</si>
  <si>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</si>
  <si>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</si>
  <si>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</si>
  <si>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</si>
  <si>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</si>
  <si>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</si>
  <si>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</si>
  <si>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</si>
  <si>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</si>
  <si>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</si>
  <si>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</si>
  <si>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</si>
  <si>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</si>
  <si>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</si>
  <si>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</si>
  <si>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</si>
  <si>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</si>
  <si>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</si>
  <si>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</si>
  <si>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</si>
  <si>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</si>
  <si>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</si>
  <si>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</si>
  <si>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</si>
  <si>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</si>
  <si>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</si>
  <si>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</si>
  <si>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</si>
  <si>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</si>
  <si>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</si>
  <si>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</si>
  <si>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</si>
  <si>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</si>
  <si>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</si>
  <si>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</si>
  <si>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</si>
  <si>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</si>
  <si>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</si>
  <si>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</si>
  <si>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</si>
  <si>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</si>
  <si>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</si>
  <si>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</si>
  <si>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</si>
  <si>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</si>
  <si>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</si>
  <si>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</si>
  <si>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</si>
  <si>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</si>
  <si>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</si>
  <si>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</si>
  <si>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</si>
  <si>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</si>
  <si>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</si>
  <si>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</si>
  <si>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</si>
  <si>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</si>
  <si>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</si>
  <si>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</si>
  <si>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</si>
  <si>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</si>
  <si>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</si>
  <si>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</si>
  <si>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</si>
  <si>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</si>
  <si>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</si>
  <si>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</si>
  <si>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</si>
  <si>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</si>
  <si>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</si>
  <si>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</si>
  <si>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</si>
  <si>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</si>
  <si>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</si>
  <si>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</si>
  <si>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</si>
  <si>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</si>
  <si>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</si>
  <si>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</si>
  <si>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</si>
  <si>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</si>
  <si>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</si>
  <si>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</si>
  <si>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</si>
  <si>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</si>
  <si>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</si>
  <si>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</si>
  <si>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</si>
  <si>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</si>
  <si>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</si>
  <si>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</si>
  <si>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</si>
  <si>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</si>
  <si>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</si>
  <si>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</si>
  <si>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</si>
  <si>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</si>
  <si>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</si>
  <si>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</si>
  <si>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</si>
  <si>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</si>
  <si>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</si>
  <si>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</si>
  <si>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</si>
  <si>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</si>
  <si>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</si>
  <si>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</si>
  <si>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</si>
  <si>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</si>
  <si>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</si>
  <si>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</si>
  <si>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</si>
  <si>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</si>
  <si>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</si>
  <si>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</si>
  <si>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</si>
  <si>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</si>
  <si>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</si>
  <si>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</si>
  <si>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</si>
  <si>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</si>
  <si>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</si>
  <si>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</si>
  <si>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</si>
  <si>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</si>
  <si>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</si>
  <si>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</si>
  <si>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</si>
  <si>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</si>
  <si>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</si>
  <si>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</si>
  <si>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</si>
  <si>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</si>
  <si>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</si>
  <si>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</si>
  <si>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</si>
  <si>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</si>
  <si>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</si>
  <si>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</si>
  <si>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</si>
  <si>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</si>
  <si>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</si>
  <si>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</si>
  <si>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</si>
  <si>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</si>
  <si>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</si>
  <si>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</si>
  <si>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</si>
  <si>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</si>
  <si>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</si>
  <si>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</si>
  <si>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</si>
  <si>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</si>
  <si>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</si>
  <si>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</si>
  <si>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</si>
  <si>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</si>
  <si>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</si>
  <si>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</si>
  <si>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</si>
  <si>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</si>
  <si>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</si>
  <si>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</si>
  <si>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</si>
  <si>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</si>
  <si>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</si>
  <si>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</si>
  <si>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</si>
  <si>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</si>
  <si>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</si>
  <si>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</si>
  <si>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</si>
  <si>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</si>
  <si>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</si>
  <si>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</si>
  <si>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</si>
  <si>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</si>
  <si>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</si>
  <si>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</si>
  <si>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</si>
  <si>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</si>
  <si>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</si>
  <si>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</si>
  <si>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</si>
  <si>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</si>
  <si>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</si>
  <si>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</si>
  <si>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</si>
  <si>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</si>
  <si>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</si>
  <si>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</si>
  <si>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</si>
  <si>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</si>
  <si>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</si>
  <si>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</si>
  <si>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</si>
  <si>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</si>
  <si>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</si>
  <si>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</si>
  <si>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</si>
  <si>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</si>
  <si>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</si>
  <si>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</si>
  <si>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</si>
  <si>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</si>
  <si>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</si>
  <si>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</si>
  <si>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</si>
  <si>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</si>
  <si>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</si>
  <si>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</si>
  <si>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</si>
  <si>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</si>
  <si>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</si>
  <si>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</si>
  <si>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</si>
  <si>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</si>
  <si>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</si>
  <si>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</si>
  <si>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</si>
  <si>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</si>
  <si>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</si>
  <si>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</si>
  <si>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</si>
  <si>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</si>
  <si>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</si>
  <si>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</si>
  <si>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</si>
  <si>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</si>
  <si>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</si>
  <si>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</si>
  <si>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</si>
  <si>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</si>
  <si>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</si>
  <si>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</si>
  <si>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</si>
  <si>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</si>
  <si>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</si>
  <si>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</si>
  <si>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</si>
  <si>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</si>
  <si>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</si>
  <si>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</si>
  <si>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</si>
  <si>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</si>
  <si>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</si>
  <si>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</si>
  <si>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</si>
  <si>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</si>
  <si>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</si>
  <si>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</si>
  <si>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</si>
  <si>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</si>
  <si>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</si>
  <si>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</si>
  <si>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</si>
  <si>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</si>
  <si>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</si>
  <si>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</si>
  <si>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</si>
  <si>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</si>
  <si>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</si>
  <si>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</si>
  <si>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</si>
  <si>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</si>
  <si>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</si>
  <si>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</si>
  <si>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</si>
  <si>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</si>
  <si>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</si>
  <si>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</si>
  <si>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</si>
  <si>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</si>
  <si>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</si>
  <si>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</si>
  <si>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</si>
  <si>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</si>
  <si>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</si>
  <si>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</si>
  <si>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</si>
  <si>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</si>
  <si>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</si>
  <si>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</si>
  <si>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</si>
  <si>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</si>
  <si>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</si>
  <si>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</si>
  <si>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</si>
  <si>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</si>
  <si>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</si>
  <si>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</si>
  <si>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</si>
  <si>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</si>
  <si>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</si>
  <si>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</si>
  <si>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</si>
  <si>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</si>
  <si>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</si>
  <si>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</si>
  <si>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</si>
  <si>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</si>
  <si>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</si>
  <si>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</si>
  <si>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</si>
  <si>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</si>
  <si>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</si>
  <si>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</si>
  <si>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</si>
  <si>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</si>
  <si>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</si>
  <si>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</si>
  <si>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</si>
  <si>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</si>
  <si>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</si>
  <si>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</si>
  <si>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</si>
  <si>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</si>
  <si>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</si>
  <si>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</si>
  <si>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</si>
  <si>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</si>
  <si>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</si>
  <si>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</si>
  <si>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</si>
  <si>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</si>
  <si>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</si>
  <si>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</si>
  <si>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</si>
  <si>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</si>
  <si>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</si>
  <si>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</si>
  <si>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</si>
  <si>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</si>
  <si>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</si>
  <si>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</si>
  <si>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</si>
  <si>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</si>
  <si>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</si>
  <si>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</si>
  <si>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</si>
  <si>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</si>
  <si>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</si>
  <si>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</si>
  <si>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</si>
  <si>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</si>
  <si>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</si>
  <si>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</si>
  <si>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</si>
  <si>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</si>
  <si>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</si>
  <si>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</si>
  <si>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</si>
  <si>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</si>
  <si>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</si>
  <si>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</si>
  <si>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</si>
  <si>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</si>
  <si>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</si>
  <si>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</si>
  <si>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</si>
  <si>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</si>
  <si>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</si>
  <si>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</si>
  <si>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</si>
  <si>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</si>
  <si>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</si>
  <si>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</si>
  <si>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</si>
  <si>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</si>
  <si>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</si>
  <si>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</si>
  <si>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</si>
  <si>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</si>
  <si>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</si>
  <si>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</si>
  <si>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</si>
  <si>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</si>
  <si>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</si>
  <si>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</si>
  <si>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</si>
  <si>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</si>
  <si>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</si>
  <si>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</si>
  <si>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</si>
  <si>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</si>
  <si>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</si>
  <si>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</si>
  <si>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</si>
  <si>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</si>
  <si>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</si>
  <si>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</si>
  <si>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</si>
  <si>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</si>
  <si>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</si>
  <si>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</si>
  <si>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</si>
  <si>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</si>
  <si>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</si>
  <si>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</si>
  <si>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</si>
  <si>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</si>
  <si>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</si>
  <si>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</si>
  <si>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</si>
  <si>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</si>
  <si>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</si>
  <si>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</si>
  <si>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</si>
  <si>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</si>
  <si>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</si>
  <si>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</si>
  <si>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</si>
  <si>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</si>
  <si>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</si>
  <si>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</si>
  <si>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</si>
  <si>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</si>
  <si>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</si>
  <si>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</si>
  <si>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</si>
  <si>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</si>
  <si>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</si>
  <si>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</si>
  <si>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</si>
  <si>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</si>
  <si>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</si>
  <si>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</si>
  <si>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</si>
  <si>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</si>
  <si>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</si>
  <si>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</si>
  <si>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</si>
  <si>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</si>
  <si>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</si>
  <si>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</si>
  <si>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</si>
  <si>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</si>
  <si>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</si>
  <si>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</si>
  <si>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</si>
  <si>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</si>
  <si>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</si>
  <si>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</si>
  <si>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</si>
  <si>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</si>
  <si>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</si>
  <si>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</si>
  <si>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</si>
  <si>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</si>
  <si>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</si>
  <si>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</si>
  <si>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</si>
  <si>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</si>
  <si>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</si>
  <si>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</si>
  <si>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</si>
  <si>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</si>
  <si>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</si>
  <si>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</si>
  <si>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</si>
  <si>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</si>
  <si>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</si>
  <si>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</si>
  <si>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</si>
  <si>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</si>
  <si>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</si>
  <si>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</si>
  <si>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</si>
  <si>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</si>
  <si>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</si>
  <si>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</si>
  <si>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</si>
  <si>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</si>
  <si>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</si>
  <si>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</si>
  <si>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</si>
  <si>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</si>
  <si>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</si>
  <si>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</si>
  <si>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</si>
  <si>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</si>
  <si>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</si>
  <si>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</si>
  <si>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</si>
  <si>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</si>
  <si>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</si>
  <si>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</si>
  <si>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</si>
  <si>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</si>
  <si>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</si>
  <si>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</si>
  <si>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</si>
  <si>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</si>
  <si>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</si>
  <si>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</si>
  <si>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</si>
  <si>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</si>
  <si>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</si>
  <si>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</si>
  <si>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</si>
  <si>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</si>
  <si>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</si>
  <si>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</si>
  <si>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</si>
  <si>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</si>
  <si>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</si>
  <si>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</si>
  <si>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</si>
  <si>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</si>
  <si>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</si>
  <si>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</si>
  <si>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</si>
  <si>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</si>
  <si>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</si>
  <si>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</si>
  <si>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</si>
  <si>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</si>
  <si>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</si>
  <si>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</si>
  <si>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</si>
  <si>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</si>
  <si>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</si>
  <si>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</si>
  <si>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</si>
  <si>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</si>
  <si>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</si>
  <si>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</si>
  <si>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</si>
  <si>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</si>
  <si>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</si>
  <si>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</si>
  <si>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</si>
  <si>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</si>
  <si>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</si>
  <si>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</si>
  <si>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</si>
  <si>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</si>
  <si>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</si>
  <si>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</si>
  <si>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</si>
  <si>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</si>
  <si>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</si>
  <si>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</si>
  <si>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</si>
  <si>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</si>
  <si>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</si>
  <si>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</si>
  <si>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</si>
  <si>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</si>
  <si>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</si>
  <si>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</si>
  <si>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</si>
  <si>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</si>
  <si>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</si>
  <si>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</si>
  <si>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</si>
  <si>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</si>
  <si>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</si>
  <si>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</si>
  <si>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</si>
  <si>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</si>
  <si>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</si>
  <si>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</si>
  <si>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</si>
  <si>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</si>
  <si>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</si>
  <si>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</si>
  <si>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</si>
  <si>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</si>
  <si>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</si>
  <si>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</si>
  <si>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</si>
  <si>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</si>
  <si>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</si>
  <si>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</si>
  <si>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</si>
  <si>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</si>
  <si>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</si>
  <si>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</si>
  <si>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</si>
  <si>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</si>
  <si>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</si>
  <si>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</si>
  <si>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</si>
  <si>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</si>
  <si>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</si>
  <si>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</si>
  <si>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</si>
  <si>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</si>
  <si>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</si>
  <si>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</si>
  <si>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</si>
  <si>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</si>
  <si>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</si>
  <si>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</si>
  <si>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</si>
  <si>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</si>
  <si>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</si>
  <si>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</si>
  <si>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</si>
  <si>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</si>
  <si>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</si>
  <si>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</si>
  <si>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</si>
  <si>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</si>
  <si>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</si>
  <si>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</si>
  <si>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</si>
  <si>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</si>
  <si>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</si>
  <si>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</si>
  <si>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</si>
  <si>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</si>
  <si>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</si>
  <si>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</si>
  <si>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</si>
  <si>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</si>
  <si>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</si>
  <si>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</si>
  <si>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</si>
  <si>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</si>
  <si>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</si>
  <si>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</si>
  <si>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</si>
  <si>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</si>
  <si>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</si>
  <si>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</si>
  <si>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</si>
  <si>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</si>
  <si>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</si>
  <si>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</si>
  <si>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</si>
  <si>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</si>
  <si>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</si>
  <si>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</si>
  <si>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</si>
  <si>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</si>
  <si>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</si>
  <si>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</si>
  <si>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</si>
  <si>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</si>
  <si>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</si>
  <si>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</si>
  <si>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</si>
  <si>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</si>
  <si>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</si>
  <si>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</si>
  <si>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</si>
  <si>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</si>
  <si>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</si>
  <si>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</si>
  <si>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</si>
  <si>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</si>
  <si>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</si>
  <si>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</si>
  <si>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</si>
  <si>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</si>
  <si>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</si>
  <si>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</si>
  <si>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</si>
  <si>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</si>
  <si>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</si>
  <si>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</si>
  <si>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</si>
  <si>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</si>
  <si>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</si>
  <si>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</si>
  <si>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</si>
  <si>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</si>
  <si>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</si>
  <si>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</si>
  <si>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</si>
  <si>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</si>
  <si>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</si>
  <si>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</si>
  <si>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</si>
  <si>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</si>
  <si>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</si>
  <si>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</si>
  <si>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</si>
  <si>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</si>
  <si>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</si>
  <si>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</si>
  <si>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</si>
  <si>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</si>
  <si>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</si>
  <si>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</si>
  <si>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</si>
  <si>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</si>
  <si>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</si>
  <si>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</si>
  <si>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</si>
  <si>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</si>
  <si>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</si>
  <si>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</si>
  <si>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</si>
  <si>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</si>
  <si>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</si>
  <si>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</si>
  <si>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</si>
  <si>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</si>
  <si>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</si>
  <si>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</si>
  <si>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</si>
  <si>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</si>
  <si>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</si>
  <si>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</si>
  <si>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</si>
  <si>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</si>
  <si>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</si>
  <si>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</si>
  <si>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</si>
  <si>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</si>
  <si>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</si>
  <si>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</si>
  <si>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</si>
  <si>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</si>
  <si>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</si>
  <si>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</si>
  <si>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</si>
  <si>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</si>
  <si>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</si>
  <si>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</si>
  <si>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</si>
  <si>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</si>
  <si>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</si>
  <si>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</si>
  <si>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</si>
  <si>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</si>
  <si>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</si>
  <si>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</si>
  <si>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</si>
  <si>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</si>
  <si>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</si>
  <si>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</si>
  <si>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</si>
  <si>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</si>
  <si>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</si>
  <si>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</si>
  <si>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</si>
  <si>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</si>
  <si>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</si>
  <si>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</si>
  <si>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</si>
  <si>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</si>
  <si>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</si>
  <si>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</si>
  <si>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</si>
  <si>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</si>
  <si>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</si>
  <si>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</si>
  <si>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</si>
  <si>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</si>
  <si>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</si>
  <si>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</si>
  <si>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</si>
  <si>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</si>
  <si>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</si>
  <si>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</si>
  <si>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</si>
  <si>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</si>
  <si>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</si>
  <si>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</si>
  <si>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</si>
  <si>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</si>
  <si>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</si>
  <si>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</si>
  <si>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</si>
  <si>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</si>
  <si>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</si>
  <si>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</si>
  <si>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</si>
  <si>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</si>
  <si>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</si>
  <si>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</si>
  <si>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</si>
  <si>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</si>
  <si>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</si>
  <si>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</si>
  <si>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</si>
  <si>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</si>
  <si>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</si>
  <si>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</si>
  <si>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</si>
  <si>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</si>
  <si>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</si>
  <si>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</si>
  <si>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</si>
  <si>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</si>
  <si>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</si>
  <si>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</si>
  <si>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</si>
  <si>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</si>
  <si>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</si>
  <si>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</si>
  <si>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</si>
  <si>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</si>
  <si>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</si>
  <si>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</si>
  <si>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</si>
  <si>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</si>
  <si>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</si>
  <si>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</si>
  <si>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</si>
  <si>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</si>
  <si>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</si>
  <si>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</si>
  <si>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</si>
  <si>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</si>
  <si>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</si>
  <si>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</si>
  <si>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</si>
  <si>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</si>
  <si>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</si>
  <si>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</si>
  <si>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</si>
  <si>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</si>
  <si>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</si>
  <si>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</si>
  <si>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</si>
  <si>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</si>
  <si>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</si>
  <si>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</si>
  <si>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</si>
  <si>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</si>
  <si>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</si>
  <si>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</si>
  <si>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</si>
  <si>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</si>
  <si>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</si>
  <si>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</si>
  <si>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</si>
  <si>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</si>
  <si>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</si>
  <si>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</si>
  <si>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</si>
  <si>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</si>
  <si>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</si>
  <si>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</si>
  <si>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</si>
  <si>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</si>
  <si>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</si>
  <si>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</si>
  <si>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</si>
  <si>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</si>
  <si>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</si>
  <si>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</si>
  <si>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</si>
  <si>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</si>
  <si>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</si>
  <si>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</si>
  <si>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</si>
  <si>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</si>
  <si>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</si>
  <si>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</si>
  <si>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</si>
  <si>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</si>
  <si>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</si>
  <si>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</si>
  <si>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</si>
  <si>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</si>
  <si>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</si>
  <si>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</si>
  <si>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</si>
  <si>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</si>
  <si>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</si>
  <si>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</si>
  <si>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</si>
  <si>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</si>
  <si>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</si>
  <si>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</si>
  <si>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</si>
  <si>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</si>
  <si>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</si>
  <si>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</si>
  <si>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</si>
  <si>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</si>
  <si>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</si>
  <si>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</si>
  <si>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</si>
  <si>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</si>
  <si>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</si>
  <si>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</si>
  <si>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</si>
  <si>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</si>
  <si>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</si>
  <si>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</si>
  <si>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</si>
  <si>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</si>
  <si>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</si>
  <si>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</si>
  <si>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</si>
  <si>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</si>
  <si>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</si>
  <si>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</si>
  <si>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</si>
  <si>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</si>
  <si>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</si>
  <si>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</si>
  <si>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</si>
  <si>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</si>
  <si>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</si>
  <si>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</si>
  <si>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</si>
  <si>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</si>
  <si>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</si>
  <si>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</si>
  <si>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</si>
  <si>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</si>
  <si>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</si>
  <si>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</si>
  <si>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</si>
  <si>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</si>
  <si>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</si>
  <si>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</si>
  <si>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</si>
  <si>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</si>
  <si>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</si>
  <si>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</si>
  <si>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</si>
  <si>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</si>
  <si>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</si>
  <si>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</si>
  <si>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</si>
  <si>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</si>
  <si>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</si>
  <si>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</si>
  <si>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</si>
  <si>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</si>
  <si>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</si>
  <si>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</si>
  <si>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</si>
  <si>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</si>
  <si>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</si>
  <si>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</si>
  <si>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</si>
  <si>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</si>
  <si>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</si>
  <si>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</si>
  <si>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</si>
  <si>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</si>
  <si>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</si>
  <si>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</si>
  <si>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</si>
  <si>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</si>
  <si>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</si>
  <si>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</si>
  <si>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NOTE</t>
  </si>
  <si>
    <t>N</t>
  </si>
  <si>
    <t>PARTCL</t>
  </si>
  <si>
    <t>D</t>
  </si>
  <si>
    <t>308 BIANCO</t>
  </si>
  <si>
    <t>Aequipecten/Bolinus da stimare dal campione scarto.  Campione spugne codice 59 ROSSO</t>
  </si>
  <si>
    <t>Numero cassette: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</si>
</sst>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1" xfId="0" applyFont="1" applyFill="1" applyBorder="1"/>
    <xf numFmtId="3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58</v>
      </c>
      <c r="B2" s="22">
        <v>45980</v>
      </c>
      <c r="C2" s="23">
        <v>0.67500000000000004</v>
      </c>
      <c r="D2" s="6">
        <v>45</v>
      </c>
      <c r="E2" s="27">
        <v>1.0629999999999999</v>
      </c>
      <c r="F2" s="6">
        <v>13</v>
      </c>
      <c r="G2" s="6">
        <v>14.637</v>
      </c>
      <c r="H2" s="6">
        <v>225</v>
      </c>
      <c r="I2" s="6">
        <v>38.200000000000003</v>
      </c>
      <c r="J2" s="6">
        <v>5.5</v>
      </c>
      <c r="K2" s="6">
        <v>5</v>
      </c>
      <c r="L2" s="6" t="s">
        <v>2599</v>
      </c>
      <c r="M2" s="6" t="s">
        <v>2597</v>
      </c>
      <c r="N2" s="6" t="s">
        <v>2600</v>
      </c>
      <c r="P2" s="6" t="s">
        <v>2604</v>
      </c>
      <c r="Q2" s="23">
        <v>0.6958333333333333</v>
      </c>
      <c r="R2" s="6">
        <v>45</v>
      </c>
      <c r="S2" s="6">
        <v>3.8370000000000002</v>
      </c>
      <c r="T2" s="6">
        <v>13</v>
      </c>
      <c r="U2" s="6">
        <v>14.984</v>
      </c>
      <c r="V2" s="6">
        <v>37.1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58</v>
      </c>
      <c r="B2" s="6">
        <f>16.4+16+17.2+10.7</f>
        <v>60.3</v>
      </c>
      <c r="C2" s="6">
        <v>0</v>
      </c>
      <c r="D2" s="6">
        <v>30</v>
      </c>
      <c r="E2" s="6">
        <v>0</v>
      </c>
      <c r="F2" s="6" t="s">
        <v>2602</v>
      </c>
      <c r="G2" s="6">
        <v>6.4</v>
      </c>
      <c r="H2" s="6" t="s">
        <v>2603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2"/>
  <sheetViews>
    <sheetView zoomScaleNormal="80" zoomScaleSheetLayoutView="100" workbookViewId="0">
      <selection activeCell="B2" sqref="B2:XFD2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s="24" t="s">
        <v>36</v>
      </c>
      <c r="B1" s="24" t="s">
        <v>27</v>
      </c>
      <c r="C1" s="24" t="s">
        <v>2592</v>
      </c>
      <c r="D1" s="24" t="s">
        <v>2593</v>
      </c>
      <c r="E1" s="24" t="s">
        <v>25</v>
      </c>
      <c r="F1" s="24" t="s">
        <v>26</v>
      </c>
      <c r="G1" s="25" t="s">
        <v>24</v>
      </c>
      <c r="H1" s="24" t="s">
        <v>2594</v>
      </c>
      <c r="I1" s="26" t="s">
        <v>2598</v>
      </c>
    </row>
    <row r="2" spans="1:9" x14ac:dyDescent="0.3">
      <c r="A2" t="s">
        <v>2601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7" customWidth="1"/>
    <col min="4" max="4" width="41.88671875" customWidth="1"/>
    <col min="5" max="5" width="30.109375" customWidth="1"/>
  </cols>
  <sheetData>
    <row r="1" spans="1:5" x14ac:dyDescent="0.3">
      <c r="A1" s="17" t="s">
        <v>37</v>
      </c>
      <c r="E1" t="s">
        <v>75</v>
      </c>
    </row>
    <row r="2" spans="1:5" x14ac:dyDescent="0.3">
      <c r="A2" s="17" t="s">
        <v>38</v>
      </c>
      <c r="D2" t="s">
        <v>76</v>
      </c>
      <c r="E2" t="s">
        <v>77</v>
      </c>
    </row>
    <row r="3" spans="1:5" x14ac:dyDescent="0.3">
      <c r="A3" s="17" t="s">
        <v>39</v>
      </c>
      <c r="D3" t="s">
        <v>78</v>
      </c>
      <c r="E3" t="s">
        <v>79</v>
      </c>
    </row>
    <row r="4" spans="1:5" x14ac:dyDescent="0.3">
      <c r="A4" s="17" t="s">
        <v>40</v>
      </c>
      <c r="D4" t="s">
        <v>80</v>
      </c>
      <c r="E4" t="s">
        <v>81</v>
      </c>
    </row>
    <row r="5" spans="1:5" x14ac:dyDescent="0.3">
      <c r="A5" s="17" t="s">
        <v>41</v>
      </c>
      <c r="D5" t="s">
        <v>82</v>
      </c>
      <c r="E5" t="s">
        <v>83</v>
      </c>
    </row>
    <row r="6" spans="1:5" x14ac:dyDescent="0.3">
      <c r="A6" s="17" t="s">
        <v>42</v>
      </c>
      <c r="D6" t="s">
        <v>84</v>
      </c>
      <c r="E6" t="s">
        <v>85</v>
      </c>
    </row>
    <row r="7" spans="1:5" x14ac:dyDescent="0.3">
      <c r="A7" s="17" t="s">
        <v>43</v>
      </c>
      <c r="D7" t="s">
        <v>86</v>
      </c>
      <c r="E7" t="s">
        <v>87</v>
      </c>
    </row>
    <row r="8" spans="1:5" x14ac:dyDescent="0.3">
      <c r="A8" s="17" t="s">
        <v>44</v>
      </c>
      <c r="D8" t="s">
        <v>88</v>
      </c>
      <c r="E8" t="s">
        <v>89</v>
      </c>
    </row>
    <row r="9" spans="1:5" x14ac:dyDescent="0.3">
      <c r="A9" s="17" t="s">
        <v>45</v>
      </c>
      <c r="D9" t="s">
        <v>90</v>
      </c>
      <c r="E9" t="s">
        <v>91</v>
      </c>
    </row>
    <row r="10" spans="1:5" x14ac:dyDescent="0.3">
      <c r="A10" s="17" t="s">
        <v>46</v>
      </c>
      <c r="D10" t="s">
        <v>92</v>
      </c>
      <c r="E10" t="s">
        <v>93</v>
      </c>
    </row>
    <row r="11" spans="1:5" x14ac:dyDescent="0.3">
      <c r="A11" s="17" t="s">
        <v>47</v>
      </c>
      <c r="D11" t="s">
        <v>94</v>
      </c>
      <c r="E11" t="s">
        <v>95</v>
      </c>
    </row>
    <row r="12" spans="1:5" x14ac:dyDescent="0.3">
      <c r="A12" s="17" t="s">
        <v>48</v>
      </c>
      <c r="D12" t="s">
        <v>96</v>
      </c>
      <c r="E12" t="s">
        <v>97</v>
      </c>
    </row>
    <row r="13" spans="1:5" x14ac:dyDescent="0.3">
      <c r="A13" s="17" t="s">
        <v>49</v>
      </c>
      <c r="D13" t="s">
        <v>98</v>
      </c>
      <c r="E13" t="s">
        <v>99</v>
      </c>
    </row>
    <row r="14" spans="1:5" x14ac:dyDescent="0.3">
      <c r="A14" s="17" t="s">
        <v>50</v>
      </c>
      <c r="D14" t="s">
        <v>100</v>
      </c>
      <c r="E14" t="s">
        <v>101</v>
      </c>
    </row>
    <row r="15" spans="1:5" x14ac:dyDescent="0.3">
      <c r="A15" s="17" t="s">
        <v>51</v>
      </c>
      <c r="D15" t="s">
        <v>102</v>
      </c>
      <c r="E15" t="s">
        <v>103</v>
      </c>
    </row>
    <row r="16" spans="1:5" x14ac:dyDescent="0.3">
      <c r="A16" s="17" t="s">
        <v>52</v>
      </c>
      <c r="D16" t="s">
        <v>104</v>
      </c>
      <c r="E16" t="s">
        <v>105</v>
      </c>
    </row>
    <row r="17" spans="1:5" x14ac:dyDescent="0.3">
      <c r="A17" s="17" t="s">
        <v>53</v>
      </c>
      <c r="D17" t="s">
        <v>106</v>
      </c>
      <c r="E17" t="s">
        <v>107</v>
      </c>
    </row>
    <row r="18" spans="1:5" x14ac:dyDescent="0.3">
      <c r="A18" s="17" t="s">
        <v>54</v>
      </c>
      <c r="D18" t="s">
        <v>108</v>
      </c>
      <c r="E18" t="s">
        <v>109</v>
      </c>
    </row>
    <row r="19" spans="1:5" x14ac:dyDescent="0.3">
      <c r="A19" s="17" t="s">
        <v>55</v>
      </c>
      <c r="D19" t="s">
        <v>110</v>
      </c>
      <c r="E19" t="s">
        <v>111</v>
      </c>
    </row>
    <row r="20" spans="1:5" x14ac:dyDescent="0.3">
      <c r="A20" s="17" t="s">
        <v>56</v>
      </c>
      <c r="D20" t="s">
        <v>112</v>
      </c>
      <c r="E20" t="s">
        <v>113</v>
      </c>
    </row>
    <row r="21" spans="1:5" x14ac:dyDescent="0.3">
      <c r="A21" s="17" t="s">
        <v>57</v>
      </c>
      <c r="D21" t="s">
        <v>114</v>
      </c>
      <c r="E21" t="s">
        <v>115</v>
      </c>
    </row>
    <row r="22" spans="1:5" x14ac:dyDescent="0.3">
      <c r="A22" s="17" t="s">
        <v>58</v>
      </c>
      <c r="D22" t="s">
        <v>116</v>
      </c>
      <c r="E22" t="s">
        <v>117</v>
      </c>
    </row>
    <row r="23" spans="1:5" x14ac:dyDescent="0.3">
      <c r="A23" s="17" t="s">
        <v>59</v>
      </c>
      <c r="D23" t="s">
        <v>118</v>
      </c>
      <c r="E23" t="s">
        <v>119</v>
      </c>
    </row>
    <row r="24" spans="1:5" x14ac:dyDescent="0.3">
      <c r="A24" s="17" t="s">
        <v>60</v>
      </c>
      <c r="D24" t="s">
        <v>120</v>
      </c>
      <c r="E24" t="s">
        <v>121</v>
      </c>
    </row>
    <row r="25" spans="1:5" x14ac:dyDescent="0.3">
      <c r="A25" s="17" t="s">
        <v>61</v>
      </c>
      <c r="D25" t="s">
        <v>122</v>
      </c>
      <c r="E25" t="s">
        <v>58</v>
      </c>
    </row>
    <row r="26" spans="1:5" x14ac:dyDescent="0.3">
      <c r="A26" s="17" t="s">
        <v>62</v>
      </c>
      <c r="D26" t="s">
        <v>123</v>
      </c>
      <c r="E26" t="s">
        <v>124</v>
      </c>
    </row>
    <row r="27" spans="1:5" x14ac:dyDescent="0.3">
      <c r="A27" s="17" t="s">
        <v>63</v>
      </c>
      <c r="D27" t="s">
        <v>125</v>
      </c>
      <c r="E27" t="s">
        <v>126</v>
      </c>
    </row>
    <row r="28" spans="1:5" x14ac:dyDescent="0.3">
      <c r="A28" s="17" t="s">
        <v>64</v>
      </c>
      <c r="D28" t="s">
        <v>127</v>
      </c>
      <c r="E28" t="s">
        <v>128</v>
      </c>
    </row>
    <row r="29" spans="1:5" x14ac:dyDescent="0.3">
      <c r="A29" s="17" t="s">
        <v>65</v>
      </c>
      <c r="D29" t="s">
        <v>129</v>
      </c>
      <c r="E29" t="s">
        <v>130</v>
      </c>
    </row>
    <row r="30" spans="1:5" x14ac:dyDescent="0.3">
      <c r="A30" s="17" t="s">
        <v>66</v>
      </c>
      <c r="D30" t="s">
        <v>131</v>
      </c>
      <c r="E30" t="s">
        <v>132</v>
      </c>
    </row>
    <row r="31" spans="1:5" x14ac:dyDescent="0.3">
      <c r="A31" s="17" t="s">
        <v>67</v>
      </c>
      <c r="D31" t="s">
        <v>133</v>
      </c>
      <c r="E31" t="s">
        <v>134</v>
      </c>
    </row>
    <row r="32" spans="1:5" x14ac:dyDescent="0.3">
      <c r="A32" s="17" t="s">
        <v>68</v>
      </c>
      <c r="D32" t="s">
        <v>135</v>
      </c>
      <c r="E32" t="s">
        <v>136</v>
      </c>
    </row>
    <row r="33" spans="1:5" x14ac:dyDescent="0.3">
      <c r="A33" s="17" t="s">
        <v>70</v>
      </c>
      <c r="D33" t="s">
        <v>137</v>
      </c>
      <c r="E33" t="s">
        <v>138</v>
      </c>
    </row>
    <row r="34" spans="1:5" x14ac:dyDescent="0.3">
      <c r="A34" s="17" t="s">
        <v>71</v>
      </c>
      <c r="D34" t="s">
        <v>139</v>
      </c>
      <c r="E34" t="s">
        <v>140</v>
      </c>
    </row>
    <row r="35" spans="1:5" x14ac:dyDescent="0.3">
      <c r="A35" s="17" t="s">
        <v>72</v>
      </c>
      <c r="D35" t="s">
        <v>141</v>
      </c>
      <c r="E35" t="s">
        <v>142</v>
      </c>
    </row>
    <row r="36" spans="1:5" x14ac:dyDescent="0.3">
      <c r="A36" s="17" t="s">
        <v>73</v>
      </c>
      <c r="D36" t="s">
        <v>143</v>
      </c>
      <c r="E36" t="s">
        <v>144</v>
      </c>
    </row>
    <row r="37" spans="1:5" x14ac:dyDescent="0.3">
      <c r="A37" s="17" t="s">
        <v>74</v>
      </c>
      <c r="D37" t="s">
        <v>145</v>
      </c>
      <c r="E37" t="s">
        <v>146</v>
      </c>
    </row>
    <row r="38" spans="1:5" x14ac:dyDescent="0.3">
      <c r="A38" s="17" t="s">
        <v>1133</v>
      </c>
      <c r="D38" t="s">
        <v>147</v>
      </c>
      <c r="E38" t="s">
        <v>148</v>
      </c>
    </row>
    <row r="39" spans="1:5" x14ac:dyDescent="0.3">
      <c r="A39" s="17" t="s">
        <v>1135</v>
      </c>
      <c r="D39" t="s">
        <v>149</v>
      </c>
      <c r="E39" t="s">
        <v>150</v>
      </c>
    </row>
    <row r="40" spans="1:5" x14ac:dyDescent="0.3">
      <c r="A40" s="17" t="s">
        <v>1137</v>
      </c>
      <c r="D40" t="s">
        <v>151</v>
      </c>
      <c r="E40" t="s">
        <v>152</v>
      </c>
    </row>
    <row r="41" spans="1:5" x14ac:dyDescent="0.3">
      <c r="A41" s="17" t="s">
        <v>2009</v>
      </c>
      <c r="D41" t="s">
        <v>153</v>
      </c>
      <c r="E41" t="s">
        <v>154</v>
      </c>
    </row>
    <row r="42" spans="1:5" x14ac:dyDescent="0.3">
      <c r="A42" s="17" t="s">
        <v>2011</v>
      </c>
      <c r="D42" t="s">
        <v>155</v>
      </c>
      <c r="E42" t="s">
        <v>156</v>
      </c>
    </row>
    <row r="43" spans="1:5" x14ac:dyDescent="0.3">
      <c r="A43" s="17" t="s">
        <v>2013</v>
      </c>
      <c r="D43" t="s">
        <v>157</v>
      </c>
      <c r="E43" t="s">
        <v>158</v>
      </c>
    </row>
    <row r="44" spans="1:5" x14ac:dyDescent="0.3">
      <c r="A44" s="17" t="s">
        <v>2015</v>
      </c>
      <c r="D44" t="s">
        <v>159</v>
      </c>
      <c r="E44" t="s">
        <v>160</v>
      </c>
    </row>
    <row r="45" spans="1:5" x14ac:dyDescent="0.3">
      <c r="A45" s="17" t="s">
        <v>2017</v>
      </c>
      <c r="D45" t="s">
        <v>161</v>
      </c>
      <c r="E45" t="s">
        <v>162</v>
      </c>
    </row>
    <row r="46" spans="1:5" x14ac:dyDescent="0.3">
      <c r="A46" s="17" t="s">
        <v>2019</v>
      </c>
      <c r="D46" t="s">
        <v>163</v>
      </c>
      <c r="E46" t="s">
        <v>164</v>
      </c>
    </row>
    <row r="47" spans="1:5" x14ac:dyDescent="0.3">
      <c r="A47" s="17" t="s">
        <v>2021</v>
      </c>
      <c r="D47" t="s">
        <v>165</v>
      </c>
      <c r="E47" t="s">
        <v>166</v>
      </c>
    </row>
    <row r="48" spans="1:5" x14ac:dyDescent="0.3">
      <c r="A48" s="17" t="s">
        <v>2023</v>
      </c>
      <c r="D48" t="s">
        <v>167</v>
      </c>
      <c r="E48" t="s">
        <v>168</v>
      </c>
    </row>
    <row r="49" spans="1:5" x14ac:dyDescent="0.3">
      <c r="A49" s="17" t="s">
        <v>2025</v>
      </c>
      <c r="D49" t="s">
        <v>169</v>
      </c>
      <c r="E49" t="s">
        <v>170</v>
      </c>
    </row>
    <row r="50" spans="1:5" x14ac:dyDescent="0.3">
      <c r="A50" s="17" t="s">
        <v>2027</v>
      </c>
      <c r="D50" t="s">
        <v>171</v>
      </c>
      <c r="E50" t="s">
        <v>172</v>
      </c>
    </row>
    <row r="51" spans="1:5" x14ac:dyDescent="0.3">
      <c r="A51" s="17" t="s">
        <v>2029</v>
      </c>
      <c r="D51" t="s">
        <v>173</v>
      </c>
      <c r="E51" t="s">
        <v>174</v>
      </c>
    </row>
    <row r="52" spans="1:5" x14ac:dyDescent="0.3">
      <c r="A52" s="17" t="s">
        <v>2031</v>
      </c>
      <c r="D52" t="s">
        <v>175</v>
      </c>
      <c r="E52" t="s">
        <v>176</v>
      </c>
    </row>
    <row r="53" spans="1:5" x14ac:dyDescent="0.3">
      <c r="A53" s="17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O9" sqref="K9:O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18" t="s">
        <v>2586</v>
      </c>
      <c r="J7" s="19" t="s">
        <v>2587</v>
      </c>
      <c r="K7" s="18" t="s">
        <v>2588</v>
      </c>
      <c r="L7" s="20" t="s">
        <v>2591</v>
      </c>
      <c r="M7" s="18" t="s">
        <v>2589</v>
      </c>
      <c r="N7" s="19" t="s">
        <v>2587</v>
      </c>
      <c r="O7" s="18" t="s">
        <v>2590</v>
      </c>
    </row>
    <row r="9" spans="9:15" x14ac:dyDescent="0.3">
      <c r="I9" t="e">
        <f>M9*K9/O9</f>
        <v>#DIV/0!</v>
      </c>
    </row>
    <row r="22" spans="1:1" ht="23.4" x14ac:dyDescent="0.45">
      <c r="A22" s="21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2025-11-19T16:14:56Z</dcterms:modified>
</cp:coreProperties>
</file>