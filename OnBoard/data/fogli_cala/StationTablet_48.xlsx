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25E5F132-A5D7-4C15-82B5-E66A29805F4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B2" i="2"/>
  <c r="I9" i="4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<sst xmlns="http://schemas.openxmlformats.org/spreadsheetml/2006/main" count="2644" uniqueCount="2605">
  <si>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</si>
  <si>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</si>
  <si>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</si>
  <si>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</si>
  <si>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</si>
  <si>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</si>
  <si>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</si>
  <si>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</si>
  <si>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</si>
  <si>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</si>
  <si>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</si>
  <si>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</si>
  <si>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</si>
  <si>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</si>
  <si>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</si>
  <si>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</si>
  <si>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</si>
  <si>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</si>
  <si>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</si>
  <si>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</si>
  <si>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</si>
  <si>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</si>
  <si>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</si>
  <si>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</si>
  <si>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</si>
  <si>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</si>
  <si>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</si>
  <si>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</si>
  <si>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</si>
  <si>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</si>
  <si>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</si>
  <si>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</si>
  <si>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</si>
  <si>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</si>
  <si>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</si>
  <si>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</si>
  <si>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</si>
  <si>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</si>
  <si>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</si>
  <si>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</si>
  <si>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</si>
  <si>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</si>
  <si>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</si>
  <si>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</si>
  <si>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</si>
  <si>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</si>
  <si>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</si>
  <si>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</si>
  <si>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</si>
  <si>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</si>
  <si>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</si>
  <si>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</si>
  <si>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</si>
  <si>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</si>
  <si>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</si>
  <si>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</si>
  <si>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</si>
  <si>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</si>
  <si>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</si>
  <si>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</si>
  <si>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</si>
  <si>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</si>
  <si>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</si>
  <si>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</si>
  <si>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</si>
  <si>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</si>
  <si>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</si>
  <si>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</si>
  <si>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</si>
  <si>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</si>
  <si>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</si>
  <si>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</si>
  <si>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</si>
  <si>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</si>
  <si>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</si>
  <si>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</si>
  <si>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</si>
  <si>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</si>
  <si>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</si>
  <si>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</si>
  <si>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</si>
  <si>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</si>
  <si>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</si>
  <si>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</si>
  <si>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</si>
  <si>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</si>
  <si>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</si>
  <si>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</si>
  <si>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</si>
  <si>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</si>
  <si>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</si>
  <si>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</si>
  <si>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</si>
  <si>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</si>
  <si>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</si>
  <si>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</si>
  <si>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</si>
  <si>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</si>
  <si>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</si>
  <si>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</si>
  <si>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</si>
  <si>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</si>
  <si>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</si>
  <si>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</si>
  <si>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</si>
  <si>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</si>
  <si>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</si>
  <si>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</si>
  <si>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</si>
  <si>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</si>
  <si>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</si>
  <si>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</si>
  <si>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</si>
  <si>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</si>
  <si>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</si>
  <si>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</si>
  <si>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</si>
  <si>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</si>
  <si>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</si>
  <si>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</si>
  <si>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</si>
  <si>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</si>
  <si>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</si>
  <si>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</si>
  <si>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</si>
  <si>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</si>
  <si>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</si>
  <si>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</si>
  <si>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</si>
  <si>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</si>
  <si>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</si>
  <si>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</si>
  <si>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</si>
  <si>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</si>
  <si>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</si>
  <si>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</si>
  <si>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</si>
  <si>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</si>
  <si>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</si>
  <si>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</si>
  <si>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</si>
  <si>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</si>
  <si>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</si>
  <si>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</si>
  <si>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</si>
  <si>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</si>
  <si>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</si>
  <si>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</si>
  <si>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</si>
  <si>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</si>
  <si>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</si>
  <si>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</si>
  <si>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</si>
  <si>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</si>
  <si>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</si>
  <si>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</si>
  <si>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</si>
  <si>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</si>
  <si>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</si>
  <si>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</si>
  <si>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</si>
  <si>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</si>
  <si>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</si>
  <si>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</si>
  <si>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</si>
  <si>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</si>
  <si>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</si>
  <si>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</si>
  <si>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</si>
  <si>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</si>
  <si>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</si>
  <si>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</si>
  <si>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</si>
  <si>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</si>
  <si>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</si>
  <si>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</si>
  <si>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</si>
  <si>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</si>
  <si>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</si>
  <si>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</si>
  <si>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</si>
  <si>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</si>
  <si>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</si>
  <si>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</si>
  <si>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</si>
  <si>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</si>
  <si>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</si>
  <si>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</si>
  <si>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</si>
  <si>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</si>
  <si>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</si>
  <si>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</si>
  <si>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</si>
  <si>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</si>
  <si>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</si>
  <si>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</si>
  <si>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</si>
  <si>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</si>
  <si>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</si>
  <si>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</si>
  <si>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</si>
  <si>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</si>
  <si>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</si>
  <si>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</si>
  <si>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</si>
  <si>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</si>
  <si>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</si>
  <si>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</si>
  <si>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</si>
  <si>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</si>
  <si>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</si>
  <si>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</si>
  <si>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</si>
  <si>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</si>
  <si>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</si>
  <si>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</si>
  <si>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</si>
  <si>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</si>
  <si>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</si>
  <si>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</si>
  <si>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</si>
  <si>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</si>
  <si>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</si>
  <si>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</si>
  <si>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</si>
  <si>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</si>
  <si>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</si>
  <si>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</si>
  <si>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</si>
  <si>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</si>
  <si>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</si>
  <si>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</si>
  <si>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</si>
  <si>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</si>
  <si>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</si>
  <si>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</si>
  <si>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</si>
  <si>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</si>
  <si>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</si>
  <si>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</si>
  <si>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</si>
  <si>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</si>
  <si>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</si>
  <si>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</si>
  <si>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</si>
  <si>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</si>
  <si>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</si>
  <si>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</si>
  <si>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</si>
  <si>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</si>
  <si>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</si>
  <si>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</si>
  <si>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</si>
  <si>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</si>
  <si>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</si>
  <si>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</si>
  <si>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</si>
  <si>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</si>
  <si>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</si>
  <si>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</si>
  <si>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</si>
  <si>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</si>
  <si>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</si>
  <si>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</si>
  <si>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</si>
  <si>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</si>
  <si>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</si>
  <si>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</si>
  <si>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</si>
  <si>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</si>
  <si>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</si>
  <si>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</si>
  <si>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</si>
  <si>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</si>
  <si>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</si>
  <si>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</si>
  <si>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</si>
  <si>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</si>
  <si>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</si>
  <si>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</si>
  <si>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</si>
  <si>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</si>
  <si>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</si>
  <si>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</si>
  <si>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</si>
  <si>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</si>
  <si>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</si>
  <si>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</si>
  <si>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</si>
  <si>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</si>
  <si>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</si>
  <si>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</si>
  <si>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</si>
  <si>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</si>
  <si>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</si>
  <si>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</si>
  <si>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</si>
  <si>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</si>
  <si>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</si>
  <si>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</si>
  <si>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</si>
  <si>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</si>
  <si>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</si>
  <si>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</si>
  <si>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</si>
  <si>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</si>
  <si>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</si>
  <si>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</si>
  <si>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</si>
  <si>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</si>
  <si>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</si>
  <si>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</si>
  <si>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</si>
  <si>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</si>
  <si>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</si>
  <si>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</si>
  <si>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</si>
  <si>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</si>
  <si>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</si>
  <si>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</si>
  <si>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</si>
  <si>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</si>
  <si>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</si>
  <si>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</si>
  <si>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</si>
  <si>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</si>
  <si>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</si>
  <si>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</si>
  <si>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</si>
  <si>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</si>
  <si>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</si>
  <si>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</si>
  <si>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</si>
  <si>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</si>
  <si>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</si>
  <si>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</si>
  <si>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</si>
  <si>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</si>
  <si>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</si>
  <si>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</si>
  <si>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</si>
  <si>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</si>
  <si>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</si>
  <si>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</si>
  <si>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</si>
  <si>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</si>
  <si>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</si>
  <si>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</si>
  <si>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</si>
  <si>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</si>
  <si>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</si>
  <si>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</si>
  <si>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</si>
  <si>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</si>
  <si>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</si>
  <si>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</si>
  <si>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</si>
  <si>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</si>
  <si>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</si>
  <si>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</si>
  <si>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</si>
  <si>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</si>
  <si>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</si>
  <si>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</si>
  <si>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</si>
  <si>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</si>
  <si>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</si>
  <si>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</si>
  <si>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</si>
  <si>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</si>
  <si>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</si>
  <si>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</si>
  <si>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</si>
  <si>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</si>
  <si>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</si>
  <si>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</si>
  <si>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</si>
  <si>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</si>
  <si>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</si>
  <si>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</si>
  <si>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</si>
  <si>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</si>
  <si>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</si>
  <si>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</si>
  <si>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</si>
  <si>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</si>
  <si>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</si>
  <si>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</si>
  <si>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</si>
  <si>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</si>
  <si>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</si>
  <si>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</si>
  <si>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</si>
  <si>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</si>
  <si>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</si>
  <si>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</si>
  <si>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</si>
  <si>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</si>
  <si>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</si>
  <si>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</si>
  <si>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</si>
  <si>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</si>
  <si>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</si>
  <si>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</si>
  <si>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</si>
  <si>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</si>
  <si>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</si>
  <si>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</si>
  <si>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</si>
  <si>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</si>
  <si>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</si>
  <si>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</si>
  <si>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</si>
  <si>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</si>
  <si>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</si>
  <si>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</si>
  <si>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</si>
  <si>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</si>
  <si>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</si>
  <si>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</si>
  <si>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</si>
  <si>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</si>
  <si>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</si>
  <si>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</si>
  <si>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</si>
  <si>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</si>
  <si>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</si>
  <si>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</si>
  <si>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</si>
  <si>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</si>
  <si>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</si>
  <si>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</si>
  <si>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</si>
  <si>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</si>
  <si>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</si>
  <si>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</si>
  <si>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</si>
  <si>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</si>
  <si>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</si>
  <si>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</si>
  <si>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</si>
  <si>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</si>
  <si>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</si>
  <si>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</si>
  <si>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</si>
  <si>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</si>
  <si>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</si>
  <si>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</si>
  <si>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</si>
  <si>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</si>
  <si>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</si>
  <si>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</si>
  <si>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</si>
  <si>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</si>
  <si>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</si>
  <si>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</si>
  <si>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</si>
  <si>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</si>
  <si>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</si>
  <si>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</si>
  <si>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</si>
  <si>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</si>
  <si>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</si>
  <si>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</si>
  <si>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</si>
  <si>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</si>
  <si>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</si>
  <si>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</si>
  <si>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</si>
  <si>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</si>
  <si>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</si>
  <si>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</si>
  <si>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</si>
  <si>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</si>
  <si>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</si>
  <si>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</si>
  <si>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</si>
  <si>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</si>
  <si>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</si>
  <si>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</si>
  <si>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</si>
  <si>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</si>
  <si>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</si>
  <si>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</si>
  <si>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</si>
  <si>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</si>
  <si>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</si>
  <si>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</si>
  <si>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</si>
  <si>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</si>
  <si>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</si>
  <si>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</si>
  <si>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</si>
  <si>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</si>
  <si>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</si>
  <si>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</si>
  <si>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</si>
  <si>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</si>
  <si>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</si>
  <si>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</si>
  <si>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</si>
  <si>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</si>
  <si>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</si>
  <si>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</si>
  <si>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</si>
  <si>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</si>
  <si>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</si>
  <si>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</si>
  <si>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</si>
  <si>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</si>
  <si>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</si>
  <si>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</si>
  <si>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</si>
  <si>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</si>
  <si>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</si>
  <si>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</si>
  <si>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</si>
  <si>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</si>
  <si>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</si>
  <si>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</si>
  <si>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</si>
  <si>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</si>
  <si>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</si>
  <si>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</si>
  <si>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</si>
  <si>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</si>
  <si>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</si>
  <si>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</si>
  <si>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</si>
  <si>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</si>
  <si>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</si>
  <si>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</si>
  <si>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</si>
  <si>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</si>
  <si>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</si>
  <si>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</si>
  <si>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</si>
  <si>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</si>
  <si>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</si>
  <si>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</si>
  <si>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</si>
  <si>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</si>
  <si>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</si>
  <si>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</si>
  <si>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</si>
  <si>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</si>
  <si>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</si>
  <si>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</si>
  <si>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</si>
  <si>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</si>
  <si>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</si>
  <si>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</si>
  <si>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</si>
  <si>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</si>
  <si>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</si>
  <si>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</si>
  <si>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</si>
  <si>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</si>
  <si>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</si>
  <si>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</si>
  <si>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</si>
  <si>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</si>
  <si>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</si>
  <si>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</si>
  <si>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</si>
  <si>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</si>
  <si>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</si>
  <si>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</si>
  <si>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</si>
  <si>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</si>
  <si>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</si>
  <si>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</si>
  <si>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</si>
  <si>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</si>
  <si>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</si>
  <si>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</si>
  <si>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</si>
  <si>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</si>
  <si>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</si>
  <si>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</si>
  <si>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</si>
  <si>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</si>
  <si>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</si>
  <si>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</si>
  <si>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</si>
  <si>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</si>
  <si>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</si>
  <si>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</si>
  <si>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</si>
  <si>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</si>
  <si>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</si>
  <si>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</si>
  <si>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</si>
  <si>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</si>
  <si>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</si>
  <si>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</si>
  <si>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</si>
  <si>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</si>
  <si>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</si>
  <si>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</si>
  <si>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</si>
  <si>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</si>
  <si>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</si>
  <si>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</si>
  <si>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</si>
  <si>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</si>
  <si>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</si>
  <si>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</si>
  <si>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</si>
  <si>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</si>
  <si>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</si>
  <si>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</si>
  <si>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</si>
  <si>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</si>
  <si>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</si>
  <si>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</si>
  <si>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</si>
  <si>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</si>
  <si>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</si>
  <si>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</si>
  <si>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</si>
  <si>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</si>
  <si>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</si>
  <si>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</si>
  <si>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</si>
  <si>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</si>
  <si>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</si>
  <si>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</si>
  <si>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</si>
  <si>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</si>
  <si>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</si>
  <si>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</si>
  <si>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</si>
  <si>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</si>
  <si>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</si>
  <si>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</si>
  <si>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</si>
  <si>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</si>
  <si>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</si>
  <si>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</si>
  <si>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</si>
  <si>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</si>
  <si>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</si>
  <si>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</si>
  <si>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</si>
  <si>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</si>
  <si>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</si>
  <si>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</si>
  <si>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</si>
  <si>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</si>
  <si>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</si>
  <si>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</si>
  <si>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</si>
  <si>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</si>
  <si>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</si>
  <si>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</si>
  <si>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</si>
  <si>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</si>
  <si>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</si>
  <si>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</si>
  <si>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</si>
  <si>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</si>
  <si>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</si>
  <si>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</si>
  <si>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</si>
  <si>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</si>
  <si>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</si>
  <si>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</si>
  <si>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</si>
  <si>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</si>
  <si>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</si>
  <si>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</si>
  <si>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</si>
  <si>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</si>
  <si>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</si>
  <si>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</si>
  <si>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</si>
  <si>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</si>
  <si>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</si>
  <si>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</si>
  <si>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</si>
  <si>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</si>
  <si>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</si>
  <si>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</si>
  <si>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</si>
  <si>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</si>
  <si>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</si>
  <si>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</si>
  <si>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</si>
  <si>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</si>
  <si>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</si>
  <si>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</si>
  <si>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</si>
  <si>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</si>
  <si>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</si>
  <si>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</si>
  <si>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</si>
  <si>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</si>
  <si>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</si>
  <si>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</si>
  <si>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</si>
  <si>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</si>
  <si>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</si>
  <si>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</si>
  <si>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</si>
  <si>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</si>
  <si>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</si>
  <si>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</si>
  <si>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</si>
  <si>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</si>
  <si>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</si>
  <si>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</si>
  <si>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</si>
  <si>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</si>
  <si>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</si>
  <si>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</si>
  <si>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</si>
  <si>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</si>
  <si>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</si>
  <si>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</si>
  <si>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</si>
  <si>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</si>
  <si>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</si>
  <si>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</si>
  <si>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</si>
  <si>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</si>
  <si>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</si>
  <si>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</si>
  <si>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</si>
  <si>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</si>
  <si>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</si>
  <si>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</si>
  <si>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</si>
  <si>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</si>
  <si>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</si>
  <si>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</si>
  <si>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</si>
  <si>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</si>
  <si>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</si>
  <si>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</si>
  <si>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</si>
  <si>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</si>
  <si>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</si>
  <si>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</si>
  <si>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</si>
  <si>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</si>
  <si>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</si>
  <si>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</si>
  <si>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</si>
  <si>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</si>
  <si>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</si>
  <si>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</si>
  <si>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</si>
  <si>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</si>
  <si>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</si>
  <si>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</si>
  <si>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</si>
  <si>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</si>
  <si>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</si>
  <si>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</si>
  <si>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</si>
  <si>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</si>
  <si>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</si>
  <si>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</si>
  <si>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</si>
  <si>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</si>
  <si>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</si>
  <si>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</si>
  <si>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</si>
  <si>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</si>
  <si>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</si>
  <si>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</si>
  <si>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</si>
  <si>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</si>
  <si>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</si>
  <si>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</si>
  <si>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</si>
  <si>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</si>
  <si>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</si>
  <si>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</si>
  <si>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</si>
  <si>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</si>
  <si>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</si>
  <si>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</si>
  <si>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</si>
  <si>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</si>
  <si>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</si>
  <si>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</si>
  <si>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</si>
  <si>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</si>
  <si>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</si>
  <si>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</si>
  <si>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</si>
  <si>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</si>
  <si>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</si>
  <si>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</si>
  <si>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</si>
  <si>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</si>
  <si>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</si>
  <si>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</si>
  <si>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</si>
  <si>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</si>
  <si>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</si>
  <si>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</si>
  <si>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</si>
  <si>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</si>
  <si>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</si>
  <si>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</si>
  <si>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</si>
  <si>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</si>
  <si>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</si>
  <si>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</si>
  <si>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</si>
  <si>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</si>
  <si>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</si>
  <si>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</si>
  <si>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</si>
  <si>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</si>
  <si>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</si>
  <si>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</si>
  <si>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</si>
  <si>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</si>
  <si>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</si>
  <si>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</si>
  <si>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</si>
  <si>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</si>
  <si>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</si>
  <si>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</si>
  <si>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</si>
  <si>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</si>
  <si>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</si>
  <si>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</si>
  <si>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</si>
  <si>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</si>
  <si>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</si>
  <si>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</si>
  <si>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</si>
  <si>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</si>
  <si>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</si>
  <si>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</si>
  <si>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</si>
  <si>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</si>
  <si>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</si>
  <si>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</si>
  <si>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</si>
  <si>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</si>
  <si>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</si>
  <si>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</si>
  <si>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</si>
  <si>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</si>
  <si>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</si>
  <si>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</si>
  <si>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</si>
  <si>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</si>
  <si>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</si>
  <si>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</si>
  <si>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</si>
  <si>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</si>
  <si>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</si>
  <si>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</si>
  <si>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</si>
  <si>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</si>
  <si>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</si>
  <si>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</si>
  <si>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</si>
  <si>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</si>
  <si>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</si>
  <si>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</si>
  <si>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</si>
  <si>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</si>
  <si>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</si>
  <si>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</si>
  <si>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</si>
  <si>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</si>
  <si>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</si>
  <si>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</si>
  <si>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</si>
  <si>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</si>
  <si>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</si>
  <si>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</si>
  <si>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</si>
  <si>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</si>
  <si>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</si>
  <si>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</si>
  <si>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</si>
  <si>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</si>
  <si>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</si>
  <si>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</si>
  <si>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</si>
  <si>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</si>
  <si>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</si>
  <si>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</si>
  <si>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</si>
  <si>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</si>
  <si>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</si>
  <si>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</si>
  <si>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</si>
  <si>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</si>
  <si>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</si>
  <si>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</si>
  <si>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</si>
  <si>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</si>
  <si>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</si>
  <si>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</si>
  <si>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</si>
  <si>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</si>
  <si>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</si>
  <si>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</si>
  <si>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</si>
  <si>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</si>
  <si>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</si>
  <si>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</si>
  <si>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</si>
  <si>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</si>
  <si>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</si>
  <si>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</si>
  <si>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</si>
  <si>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</si>
  <si>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</si>
  <si>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</si>
  <si>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</si>
  <si>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</si>
  <si>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</si>
  <si>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</si>
  <si>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</si>
  <si>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</si>
  <si>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</si>
  <si>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</si>
  <si>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</si>
  <si>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</si>
  <si>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</si>
  <si>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</si>
  <si>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</si>
  <si>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</si>
  <si>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</si>
  <si>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</si>
  <si>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</si>
  <si>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</si>
  <si>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</si>
  <si>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</si>
  <si>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</si>
  <si>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</si>
  <si>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</si>
  <si>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</si>
  <si>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</si>
  <si>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</si>
  <si>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</si>
  <si>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</si>
  <si>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</si>
  <si>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</si>
  <si>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</si>
  <si>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</si>
  <si>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</si>
  <si>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</si>
  <si>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</si>
  <si>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</si>
  <si>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</si>
  <si>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</si>
  <si>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</si>
  <si>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</si>
  <si>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</si>
  <si>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</si>
  <si>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</si>
  <si>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</si>
  <si>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</si>
  <si>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</si>
  <si>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</si>
  <si>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</si>
  <si>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</si>
  <si>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</si>
  <si>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</si>
  <si>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</si>
  <si>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</si>
  <si>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</si>
  <si>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</si>
  <si>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</si>
  <si>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</si>
  <si>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</si>
  <si>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</si>
  <si>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</si>
  <si>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</si>
  <si>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</si>
  <si>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</si>
  <si>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</si>
  <si>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</si>
  <si>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</si>
  <si>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</si>
  <si>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</si>
  <si>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</si>
  <si>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</si>
  <si>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</si>
  <si>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</si>
  <si>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</si>
  <si>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</si>
  <si>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</si>
  <si>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</si>
  <si>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</si>
  <si>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</si>
  <si>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</si>
  <si>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</si>
  <si>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</si>
  <si>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</si>
  <si>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</si>
  <si>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</si>
  <si>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</si>
  <si>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</si>
  <si>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</si>
  <si>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</si>
  <si>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</si>
  <si>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</si>
  <si>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</si>
  <si>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</si>
  <si>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</si>
  <si>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</si>
  <si>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</si>
  <si>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</si>
  <si>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</si>
  <si>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</si>
  <si>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</si>
  <si>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</si>
  <si>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</si>
  <si>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</si>
  <si>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</si>
  <si>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</si>
  <si>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</si>
  <si>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</si>
  <si>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</si>
  <si>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</si>
  <si>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</si>
  <si>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</si>
  <si>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</si>
  <si>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</si>
  <si>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</si>
  <si>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</si>
  <si>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</si>
  <si>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</si>
  <si>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</si>
  <si>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</si>
  <si>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</si>
  <si>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</si>
  <si>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</si>
  <si>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</si>
  <si>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</si>
  <si>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</si>
  <si>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</si>
  <si>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</si>
  <si>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</si>
  <si>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</si>
  <si>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</si>
  <si>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</si>
  <si>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</si>
  <si>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</si>
  <si>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</si>
  <si>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</si>
  <si>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</si>
  <si>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</si>
  <si>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</si>
  <si>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</si>
  <si>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</si>
  <si>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</si>
  <si>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</si>
  <si>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</si>
  <si>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</si>
  <si>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</si>
  <si>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</si>
  <si>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</si>
  <si>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</si>
  <si>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</si>
  <si>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</si>
  <si>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</si>
  <si>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</si>
  <si>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</si>
  <si>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</si>
  <si>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</si>
  <si>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</si>
  <si>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</si>
  <si>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</si>
  <si>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</si>
  <si>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</si>
  <si>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</si>
  <si>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</si>
  <si>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</si>
  <si>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</si>
  <si>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</si>
  <si>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</si>
  <si>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</si>
  <si>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</si>
  <si>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</si>
  <si>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</si>
  <si>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</si>
  <si>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</si>
  <si>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</si>
  <si>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</si>
  <si>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</si>
  <si>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</si>
  <si>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</si>
  <si>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</si>
  <si>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</si>
  <si>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</si>
  <si>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</si>
  <si>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</si>
  <si>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</si>
  <si>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</si>
  <si>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</si>
  <si>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</si>
  <si>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</si>
  <si>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</si>
  <si>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</si>
  <si>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</si>
  <si>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</si>
  <si>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</si>
  <si>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</si>
  <si>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</si>
  <si>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</si>
  <si>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</si>
  <si>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</si>
  <si>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</si>
  <si>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</si>
  <si>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</si>
  <si>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</si>
  <si>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</si>
  <si>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</si>
  <si>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</si>
  <si>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</si>
  <si>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</si>
  <si>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</si>
  <si>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</si>
  <si>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</si>
  <si>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</si>
  <si>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</si>
  <si>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</si>
  <si>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</si>
  <si>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</si>
  <si>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</si>
  <si>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</si>
  <si>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</si>
  <si>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</si>
  <si>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</si>
  <si>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</si>
  <si>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</si>
  <si>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</si>
  <si>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</si>
  <si>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</si>
  <si>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</si>
  <si>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</si>
  <si>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</si>
  <si>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</si>
  <si>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</si>
  <si>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</si>
  <si>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</si>
  <si>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</si>
  <si>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</si>
  <si>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</si>
  <si>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</si>
  <si>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</si>
  <si>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</si>
  <si>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</si>
  <si>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</si>
  <si>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</si>
  <si>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</si>
  <si>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</si>
  <si>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</si>
  <si>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</si>
  <si>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</si>
  <si>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</si>
  <si>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</si>
  <si>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</si>
  <si>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</si>
  <si>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</si>
  <si>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</si>
  <si>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</si>
  <si>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</si>
  <si>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</si>
  <si>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</si>
  <si>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</si>
  <si>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</si>
  <si>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</si>
  <si>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</si>
  <si>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</si>
  <si>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</si>
  <si>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</si>
  <si>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</si>
  <si>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</si>
  <si>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</si>
  <si>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</si>
  <si>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</si>
  <si>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</si>
  <si>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</si>
  <si>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</si>
  <si>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</si>
  <si>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</si>
  <si>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</si>
  <si>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</si>
  <si>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</si>
  <si>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</si>
  <si>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</si>
  <si>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</si>
  <si>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</si>
  <si>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</si>
  <si>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</si>
  <si>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</si>
  <si>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</si>
  <si>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</si>
  <si>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</si>
  <si>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</si>
  <si>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</si>
  <si>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</si>
  <si>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</si>
  <si>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</si>
  <si>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</si>
  <si>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</si>
  <si>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</si>
  <si>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</si>
  <si>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</si>
  <si>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</si>
  <si>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</si>
  <si>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</si>
  <si>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</si>
  <si>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</si>
  <si>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</si>
  <si>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</si>
  <si>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</si>
  <si>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</si>
  <si>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</si>
  <si>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</si>
  <si>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</si>
  <si>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</si>
  <si>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</si>
  <si>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</si>
  <si>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</si>
  <si>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</si>
  <si>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</si>
  <si>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</si>
  <si>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</si>
  <si>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</si>
  <si>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</si>
  <si>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</si>
  <si>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</si>
  <si>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</si>
  <si>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</si>
  <si>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</si>
  <si>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</si>
  <si>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</si>
  <si>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</si>
  <si>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</si>
  <si>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</si>
  <si>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</si>
  <si>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</si>
  <si>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</si>
  <si>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</si>
  <si>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</si>
  <si>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</si>
  <si>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</si>
  <si>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</si>
  <si>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</si>
  <si>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</si>
  <si>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</si>
  <si>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</si>
  <si>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</si>
  <si>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</si>
  <si>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</si>
  <si>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</si>
  <si>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</si>
  <si>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</si>
  <si>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</si>
  <si>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</si>
  <si>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</si>
  <si>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</si>
  <si>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</si>
  <si>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</si>
  <si>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</si>
  <si>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</si>
  <si>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</si>
  <si>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</si>
  <si>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</si>
  <si>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</si>
  <si>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</si>
  <si>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</si>
  <si>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</si>
  <si>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</si>
  <si>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</si>
  <si>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</si>
  <si>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</si>
  <si>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</si>
  <si>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</si>
  <si>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</si>
  <si>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</si>
  <si>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</si>
  <si>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</si>
  <si>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</si>
  <si>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</si>
  <si>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</si>
  <si>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</si>
  <si>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</si>
  <si>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</si>
  <si>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</si>
  <si>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</si>
  <si>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</si>
  <si>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</si>
  <si>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</si>
  <si>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</si>
  <si>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</si>
  <si>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</si>
  <si>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</si>
  <si>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</si>
  <si>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</si>
  <si>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</si>
  <si>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</si>
  <si>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</si>
  <si>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</si>
  <si>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</si>
  <si>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</si>
  <si>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</si>
  <si>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</si>
  <si>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</si>
  <si>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</si>
  <si>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</si>
  <si>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</si>
  <si>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</si>
  <si>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</si>
  <si>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</si>
  <si>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</si>
  <si>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</si>
  <si>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</si>
  <si>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</si>
  <si>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</si>
  <si>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</si>
  <si>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</si>
  <si>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</si>
  <si>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</si>
  <si>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</si>
  <si>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</si>
  <si>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</si>
  <si>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</si>
  <si>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</si>
  <si>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</si>
  <si>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</si>
  <si>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</si>
  <si>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</si>
  <si>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</si>
  <si>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</si>
  <si>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</si>
  <si>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</si>
  <si>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</si>
  <si>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</si>
  <si>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</si>
  <si>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</si>
  <si>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</si>
  <si>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</si>
  <si>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</si>
  <si>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</si>
  <si>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</si>
  <si>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</si>
  <si>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</si>
  <si>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</si>
  <si>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</si>
  <si>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</si>
  <si>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</si>
  <si>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</si>
  <si>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</si>
  <si>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</si>
  <si>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</si>
  <si>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</si>
  <si>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</si>
  <si>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</si>
  <si>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</si>
  <si>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</si>
  <si>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</si>
  <si>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</si>
  <si>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</si>
  <si>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</si>
  <si>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</si>
  <si>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</si>
  <si>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</si>
  <si>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</si>
  <si>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</si>
  <si>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</si>
  <si>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</si>
  <si>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</si>
  <si>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</si>
  <si>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</si>
  <si>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</si>
  <si>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</si>
  <si>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</si>
  <si>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</si>
  <si>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</si>
  <si>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</si>
  <si>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</si>
  <si>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</si>
  <si>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</si>
  <si>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</si>
  <si>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</si>
  <si>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</si>
  <si>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</si>
  <si>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</si>
  <si>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</si>
  <si>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</si>
  <si>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</si>
  <si>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</si>
  <si>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</si>
  <si>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</si>
  <si>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</si>
  <si>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</si>
  <si>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</si>
  <si>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</si>
  <si>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</si>
  <si>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</si>
  <si>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</si>
  <si>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</si>
  <si>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</si>
  <si>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</si>
  <si>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</si>
  <si>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</si>
  <si>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</si>
  <si>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</si>
  <si>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</si>
  <si>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</si>
  <si>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</si>
  <si>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</si>
  <si>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</si>
  <si>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</si>
  <si>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</si>
  <si>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</si>
  <si>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</si>
  <si>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</si>
  <si>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</si>
  <si>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</si>
  <si>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</si>
  <si>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</si>
  <si>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</si>
  <si>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</si>
  <si>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</si>
  <si>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</si>
  <si>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</si>
  <si>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</si>
  <si>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</si>
  <si>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</si>
  <si>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</si>
  <si>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</si>
  <si>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</si>
  <si>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</si>
  <si>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</si>
  <si>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</si>
  <si>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</si>
  <si>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</si>
  <si>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</si>
  <si>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</si>
  <si>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</si>
  <si>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</si>
  <si>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</si>
  <si>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</si>
  <si>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</si>
  <si>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</si>
  <si>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</si>
  <si>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</si>
  <si>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</si>
  <si>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</si>
  <si>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</si>
  <si>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</si>
  <si>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</si>
  <si>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</si>
  <si>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</si>
  <si>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</si>
  <si>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</si>
  <si>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</si>
  <si>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</si>
  <si>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</si>
  <si>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</si>
  <si>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</si>
  <si>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</si>
  <si>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</si>
  <si>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</si>
  <si>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</si>
  <si>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</si>
  <si>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</si>
  <si>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</si>
  <si>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</si>
  <si>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</si>
  <si>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</si>
  <si>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</si>
  <si>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</si>
  <si>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</si>
  <si>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</si>
  <si>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</si>
  <si>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</si>
  <si>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</si>
  <si>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</si>
  <si>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</si>
  <si>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</si>
  <si>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</si>
  <si>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</si>
  <si>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</si>
  <si>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</si>
  <si>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</si>
  <si>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</si>
  <si>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</si>
  <si>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</si>
  <si>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</si>
  <si>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</si>
  <si>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</si>
  <si>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</si>
  <si>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</si>
  <si>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</si>
  <si>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</si>
  <si>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</si>
  <si>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</si>
  <si>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</si>
  <si>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</si>
  <si>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</si>
  <si>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</si>
  <si>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</si>
  <si>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</si>
  <si>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</si>
  <si>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</si>
  <si>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</si>
  <si>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</si>
  <si>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</si>
  <si>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</si>
  <si>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</si>
  <si>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</si>
  <si>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</si>
  <si>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</si>
  <si>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</si>
  <si>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</si>
  <si>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</si>
  <si>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</si>
  <si>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</si>
  <si>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</si>
  <si>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</si>
  <si>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</si>
  <si>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</si>
  <si>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</si>
  <si>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</si>
  <si>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</si>
  <si>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</si>
  <si>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</si>
  <si>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</si>
  <si>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</si>
  <si>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</si>
  <si>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</si>
  <si>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</si>
  <si>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</si>
  <si>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</si>
  <si>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</si>
  <si>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</si>
  <si>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</si>
  <si>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</si>
  <si>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</si>
  <si>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</si>
  <si>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</si>
  <si>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</si>
  <si>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</si>
  <si>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</si>
  <si>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</si>
  <si>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</si>
  <si>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</si>
  <si>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</si>
  <si>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</si>
  <si>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</si>
  <si>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</si>
  <si>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</si>
  <si>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</si>
  <si>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</si>
  <si>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</si>
  <si>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</si>
  <si>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</si>
  <si>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</si>
  <si>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</si>
  <si>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</si>
  <si>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</si>
  <si>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</si>
  <si>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</si>
  <si>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</si>
  <si>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</si>
  <si>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</si>
  <si>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</si>
  <si>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</si>
  <si>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</si>
  <si>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</si>
  <si>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</si>
  <si>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</si>
  <si>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</si>
  <si>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</si>
  <si>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</si>
  <si>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</si>
  <si>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</si>
  <si>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</si>
  <si>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</si>
  <si>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</si>
  <si>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</si>
  <si>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</si>
  <si>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</si>
  <si>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</si>
  <si>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</si>
  <si>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</si>
  <si>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</si>
  <si>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</si>
  <si>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</si>
  <si>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</si>
  <si>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</si>
  <si>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</si>
  <si>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</si>
  <si>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</si>
  <si>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</si>
  <si>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</si>
  <si>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</si>
  <si>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</si>
  <si>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</si>
  <si>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</si>
  <si>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</si>
  <si>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</si>
  <si>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</si>
  <si>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</si>
  <si>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</si>
  <si>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</si>
  <si>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</si>
  <si>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</si>
  <si>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</si>
  <si>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</si>
  <si>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</si>
  <si>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</si>
  <si>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</si>
  <si>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</si>
  <si>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</si>
  <si>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</si>
  <si>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</si>
  <si>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</si>
  <si>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</si>
  <si>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</si>
  <si>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</si>
  <si>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</si>
  <si>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</si>
  <si>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</si>
  <si>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</si>
  <si>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</si>
  <si>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</si>
  <si>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</si>
  <si>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</si>
  <si>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</si>
  <si>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</si>
  <si>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</si>
  <si>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</si>
  <si>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</si>
  <si>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</si>
  <si>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</si>
  <si>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</si>
  <si>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</si>
  <si>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</si>
  <si>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</si>
  <si>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</si>
  <si>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</si>
  <si>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</si>
  <si>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</si>
  <si>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</si>
  <si>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</si>
  <si>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</si>
  <si>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</si>
  <si>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</si>
  <si>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</si>
  <si>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</si>
  <si>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</si>
  <si>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</si>
  <si>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</si>
  <si>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</si>
  <si>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</si>
  <si>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</si>
  <si>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</si>
  <si>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</si>
  <si>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</si>
  <si>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</si>
  <si>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</si>
  <si>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</si>
  <si>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</si>
  <si>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</si>
  <si>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</si>
  <si>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</si>
  <si>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</si>
  <si>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</si>
  <si>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</si>
  <si>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</si>
  <si>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</si>
  <si>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</si>
  <si>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</si>
  <si>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</si>
  <si>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</si>
  <si>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</si>
  <si>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</si>
  <si>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</si>
  <si>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</si>
  <si>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</si>
  <si>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</si>
  <si>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</si>
  <si>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</si>
  <si>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</si>
  <si>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</si>
  <si>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</si>
  <si>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</si>
  <si>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</si>
  <si>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</si>
  <si>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</si>
  <si>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</si>
  <si>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</si>
  <si>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</si>
  <si>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</si>
  <si>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</si>
  <si>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</si>
  <si>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</si>
  <si>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</si>
  <si>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</si>
  <si>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</si>
  <si>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</si>
  <si>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</si>
  <si>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</si>
  <si>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</si>
  <si>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</si>
  <si>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</si>
  <si>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</si>
  <si>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</si>
  <si>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</si>
  <si>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</si>
  <si>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</si>
  <si>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</si>
  <si>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</si>
  <si>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</si>
  <si>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</si>
  <si>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</si>
  <si>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</si>
  <si>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</si>
  <si>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</si>
  <si>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</si>
  <si>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</si>
  <si>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</si>
  <si>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</si>
  <si>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</si>
  <si>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</si>
  <si>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</si>
  <si>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</si>
  <si>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</si>
  <si>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</si>
  <si>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</si>
  <si>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</si>
  <si>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</si>
  <si>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</si>
  <si>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</si>
  <si>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</si>
  <si>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</si>
  <si>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</si>
  <si>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</si>
  <si>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</si>
  <si>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</si>
  <si>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</si>
  <si>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</si>
  <si>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</si>
  <si>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</si>
  <si>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</si>
  <si>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</si>
  <si>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</si>
  <si>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</si>
  <si>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</si>
  <si>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</si>
  <si>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</si>
  <si>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</si>
  <si>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</si>
  <si>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</si>
  <si>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</si>
  <si>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</si>
  <si>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</si>
  <si>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</si>
  <si>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</si>
  <si>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</si>
  <si>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</si>
  <si>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</si>
  <si>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</si>
  <si>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</si>
  <si>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</si>
  <si>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</si>
  <si>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</si>
  <si>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</si>
  <si>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</si>
  <si>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</si>
  <si>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</si>
  <si>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</si>
  <si>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</si>
  <si>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</si>
  <si>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</si>
  <si>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</si>
  <si>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</si>
  <si>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</si>
  <si>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</si>
  <si>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</si>
  <si>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</si>
  <si>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</si>
  <si>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</si>
  <si>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</si>
  <si>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</si>
  <si>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</si>
  <si>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</si>
  <si>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</si>
  <si>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</si>
  <si>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</si>
  <si>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</si>
  <si>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</si>
  <si>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</si>
  <si>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</si>
  <si>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</si>
  <si>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</si>
  <si>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</si>
  <si>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</si>
  <si>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</si>
  <si>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</si>
  <si>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</si>
  <si>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</si>
  <si>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</si>
  <si>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</si>
  <si>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</si>
  <si>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</si>
  <si>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</si>
  <si>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</si>
  <si>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</si>
  <si>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</si>
  <si>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</si>
  <si>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</si>
  <si>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</si>
  <si>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</si>
  <si>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</si>
  <si>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</si>
  <si>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</si>
  <si>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</si>
  <si>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</si>
  <si>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</si>
  <si>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</si>
  <si>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</si>
  <si>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</si>
  <si>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</si>
  <si>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</si>
  <si>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</si>
  <si>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</si>
  <si>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</si>
  <si>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</si>
  <si>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</si>
  <si>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</si>
  <si>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</si>
  <si>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</si>
  <si>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</si>
  <si>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</si>
  <si>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</si>
  <si>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</si>
  <si>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</si>
  <si>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</si>
  <si>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</si>
  <si>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</si>
  <si>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</si>
  <si>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</si>
  <si>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</si>
  <si>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</si>
  <si>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</si>
  <si>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</si>
  <si>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</si>
  <si>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</si>
  <si>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</si>
  <si>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</si>
  <si>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</si>
  <si>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</si>
  <si>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</si>
  <si>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</si>
  <si>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</si>
  <si>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</si>
  <si>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</si>
  <si>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</si>
  <si>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</si>
  <si>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</si>
  <si>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</si>
  <si>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</si>
  <si>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</si>
  <si>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</si>
  <si>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</si>
  <si>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</si>
  <si>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</si>
  <si>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</si>
  <si>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</si>
  <si>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</si>
  <si>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</si>
  <si>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</si>
  <si>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</si>
  <si>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</si>
  <si>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</si>
  <si>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</si>
  <si>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</si>
  <si>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</si>
  <si>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</si>
  <si>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</si>
  <si>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</si>
  <si>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</si>
  <si>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</si>
  <si>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</si>
  <si>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</si>
  <si>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</si>
  <si>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</si>
  <si>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</si>
  <si>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</si>
  <si>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</si>
  <si>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</si>
  <si>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</si>
  <si>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</si>
  <si>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</si>
  <si>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</si>
  <si>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</si>
  <si>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</si>
  <si>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</si>
  <si>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</si>
  <si>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</si>
  <si>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</si>
  <si>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</si>
  <si>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</si>
  <si>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</si>
  <si>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</si>
  <si>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</si>
  <si>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</si>
  <si>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</si>
  <si>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</si>
  <si>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</si>
  <si>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</si>
  <si>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</si>
  <si>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</si>
  <si>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</si>
  <si>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</si>
  <si>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</si>
  <si>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</si>
  <si>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</si>
  <si>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</si>
  <si>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</si>
  <si>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</si>
  <si>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</si>
  <si>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</si>
  <si>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</si>
  <si>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</si>
  <si>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</si>
  <si>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</si>
  <si>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</si>
  <si>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</si>
  <si>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</si>
  <si>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</si>
  <si>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</si>
  <si>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</si>
  <si>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</si>
  <si>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</si>
  <si>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</si>
  <si>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</si>
  <si>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</si>
  <si>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</si>
  <si>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</si>
  <si>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</si>
  <si>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</si>
  <si>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</si>
  <si>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</si>
  <si>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</si>
  <si>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</si>
  <si>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</si>
  <si>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</si>
  <si>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</si>
  <si>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</si>
  <si>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</si>
  <si>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</si>
  <si>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</si>
  <si>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</si>
  <si>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</si>
  <si>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</si>
  <si>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</si>
  <si>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</si>
  <si>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</si>
  <si>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</si>
  <si>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</si>
  <si>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</si>
  <si>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</si>
  <si>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</si>
  <si>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</si>
  <si>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</si>
  <si>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</si>
  <si>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</si>
  <si>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</si>
  <si>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</si>
  <si>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</si>
  <si>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</si>
  <si>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</si>
  <si>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</si>
  <si>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</si>
  <si>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</si>
  <si>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</si>
  <si>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</si>
  <si>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</si>
  <si>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</si>
  <si>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</si>
  <si>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</si>
  <si>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</si>
  <si>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</si>
  <si>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</si>
  <si>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</si>
  <si>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</si>
  <si>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</si>
  <si>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</si>
  <si>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</si>
  <si>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</si>
  <si>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</si>
  <si>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</si>
  <si>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</si>
  <si>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</si>
  <si>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</si>
  <si>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</si>
  <si>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</si>
  <si>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</si>
  <si>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</si>
  <si>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</si>
  <si>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</si>
  <si>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</si>
  <si>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</si>
  <si>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</si>
  <si>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</si>
  <si>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</si>
  <si>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</si>
  <si>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</si>
  <si>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</si>
  <si>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</si>
  <si>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</si>
  <si>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</si>
  <si>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</si>
  <si>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</si>
  <si>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</si>
  <si>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</si>
  <si>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</si>
  <si>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</si>
  <si>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</si>
  <si>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</si>
  <si>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</si>
  <si>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</si>
  <si>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</si>
  <si>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</si>
  <si>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</si>
  <si>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</si>
  <si>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</si>
  <si>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</si>
  <si>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</si>
  <si>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</si>
  <si>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</si>
  <si>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</si>
  <si>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</si>
  <si>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</si>
  <si>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</si>
  <si>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</si>
  <si>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</si>
  <si>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</si>
  <si>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</si>
  <si>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</si>
  <si>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</si>
  <si>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</si>
  <si>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</si>
  <si>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</si>
  <si>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</si>
  <si>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</si>
  <si>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</si>
  <si>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</si>
  <si>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</si>
  <si>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</si>
  <si>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</si>
  <si>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</si>
  <si>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</si>
  <si>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</si>
  <si>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</si>
  <si>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</si>
  <si>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</si>
  <si>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</si>
  <si>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</si>
  <si>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</si>
  <si>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</si>
  <si>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</si>
  <si>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</si>
  <si>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</si>
  <si>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</si>
  <si>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</si>
  <si>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</si>
  <si>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</si>
  <si>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</si>
  <si>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</si>
  <si>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</si>
  <si>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</si>
  <si>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</si>
  <si>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</si>
  <si>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</si>
  <si>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</si>
  <si>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</si>
  <si>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</si>
  <si>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</si>
  <si>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</si>
  <si>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</si>
  <si>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</si>
  <si>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</si>
  <si>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</si>
  <si>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</si>
  <si>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</si>
  <si>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</si>
  <si>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</si>
  <si>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</si>
  <si>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</si>
  <si>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</si>
  <si>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</si>
  <si>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</si>
  <si>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</si>
  <si>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</si>
  <si>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</si>
  <si>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</si>
  <si>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</si>
  <si>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</si>
  <si>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</si>
  <si>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</si>
  <si>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</si>
  <si>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</si>
  <si>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</si>
  <si>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</si>
  <si>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</si>
  <si>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</si>
  <si>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</si>
  <si>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</si>
  <si>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</si>
  <si>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</si>
  <si>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</si>
  <si>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</si>
  <si>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</si>
  <si>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</si>
  <si>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</si>
  <si>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</si>
  <si>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</si>
  <si>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</si>
  <si>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</si>
  <si>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</si>
  <si>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</si>
  <si>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</si>
  <si>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</si>
  <si>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</si>
  <si>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</si>
  <si>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</si>
  <si>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</si>
  <si>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</si>
  <si>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</si>
  <si>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</si>
  <si>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</si>
  <si>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</si>
  <si>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</si>
  <si>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</si>
  <si>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</si>
  <si>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</si>
  <si>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</si>
  <si>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</si>
  <si>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</si>
  <si>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</si>
  <si>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</si>
  <si>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</si>
  <si>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</si>
  <si>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</si>
  <si>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</si>
  <si>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</si>
  <si>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</si>
  <si>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</si>
  <si>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</si>
  <si>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</si>
  <si>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</si>
  <si>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</si>
  <si>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</si>
  <si>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</si>
  <si>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</si>
  <si>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</si>
  <si>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</si>
  <si>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</si>
  <si>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</si>
  <si>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</si>
  <si>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</si>
  <si>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</si>
  <si>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</si>
  <si>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</si>
  <si>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</si>
  <si>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</si>
  <si>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</si>
  <si>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</si>
  <si>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</si>
  <si>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</si>
  <si>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</si>
  <si>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</si>
  <si>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</si>
  <si>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</si>
  <si>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</si>
  <si>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</si>
  <si>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</si>
  <si>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</si>
  <si>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</si>
  <si>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</si>
  <si>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</si>
  <si>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</si>
  <si>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</si>
  <si>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</si>
  <si>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</si>
  <si>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</si>
  <si>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</si>
  <si>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</si>
  <si>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</si>
  <si>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</si>
  <si>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</si>
  <si>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</si>
  <si>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</si>
  <si>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</si>
  <si>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</si>
  <si>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</si>
  <si>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</si>
  <si>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</si>
  <si>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</si>
  <si>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</si>
  <si>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</si>
  <si>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</si>
  <si>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</si>
  <si>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</si>
  <si>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</si>
  <si>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</si>
  <si>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</si>
  <si>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</si>
  <si>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</si>
  <si>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</si>
  <si>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</si>
  <si>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</si>
  <si>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</si>
  <si>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</si>
  <si>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</si>
  <si>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</si>
  <si>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</si>
  <si>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</si>
  <si>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</si>
  <si>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</si>
  <si>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</si>
  <si>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</si>
  <si>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</si>
  <si>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</si>
  <si>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</si>
  <si>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</si>
  <si>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</si>
  <si>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</si>
  <si>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</si>
  <si>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</si>
  <si>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</si>
  <si>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</si>
  <si>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</si>
  <si>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</si>
  <si>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</si>
  <si>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</si>
  <si>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</si>
  <si>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</si>
  <si>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</si>
  <si>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</si>
  <si>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</si>
  <si>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</si>
  <si>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</si>
  <si>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</si>
  <si>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</si>
  <si>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</si>
  <si>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</si>
  <si>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</si>
  <si>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</si>
  <si>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</si>
  <si>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</si>
  <si>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</si>
  <si>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</si>
  <si>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</si>
  <si>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</si>
  <si>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</si>
  <si>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</si>
  <si>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</si>
  <si>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</si>
  <si>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</si>
  <si>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</si>
  <si>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</si>
  <si>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</si>
  <si>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</si>
  <si>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</si>
  <si>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</si>
  <si>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</si>
  <si>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</si>
  <si>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</si>
  <si>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</si>
  <si>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</si>
  <si>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</si>
  <si>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</si>
  <si>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</si>
  <si>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</si>
  <si>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</si>
  <si>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</si>
  <si>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</si>
  <si>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</si>
  <si>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</si>
  <si>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</si>
  <si>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</si>
  <si>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</si>
  <si>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</si>
  <si>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</si>
  <si>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</si>
  <si>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</si>
  <si>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</si>
  <si>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</si>
  <si>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</si>
  <si>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</si>
  <si>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</si>
  <si>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</si>
  <si>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</si>
  <si>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</si>
  <si>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</si>
  <si>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</si>
  <si>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</si>
  <si>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</si>
  <si>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</si>
  <si>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</si>
  <si>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</si>
  <si>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</si>
  <si>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</si>
  <si>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</si>
  <si>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</si>
  <si>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</si>
  <si>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</si>
  <si>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</si>
  <si>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</si>
  <si>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</si>
  <si>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</si>
  <si>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</si>
  <si>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</si>
  <si>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</si>
  <si>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</si>
  <si>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</si>
  <si>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</si>
  <si>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</si>
  <si>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</si>
  <si>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</si>
  <si>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</si>
  <si>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</si>
  <si>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</si>
  <si>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</si>
  <si>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</si>
  <si>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</si>
  <si>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</si>
  <si>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</si>
  <si>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</si>
  <si>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</si>
  <si>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</si>
  <si>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</si>
  <si>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</si>
  <si>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</si>
  <si>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</si>
  <si>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</si>
  <si>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</si>
  <si>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</si>
  <si>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</si>
  <si>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</si>
  <si>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</si>
  <si>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</si>
  <si>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</si>
  <si>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</si>
  <si>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</si>
  <si>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</si>
  <si>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</si>
  <si>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</si>
  <si>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</si>
  <si>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</si>
  <si>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</si>
  <si>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</si>
  <si>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</si>
  <si>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</si>
  <si>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</si>
  <si>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</si>
  <si>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</si>
  <si>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</si>
  <si>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</si>
  <si>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</si>
  <si>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</si>
  <si>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</si>
  <si>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</si>
  <si>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</si>
  <si>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</si>
  <si>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</si>
  <si>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</si>
  <si>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</si>
  <si>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</si>
  <si>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</si>
  <si>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</si>
  <si>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</si>
  <si>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</si>
  <si>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</si>
  <si>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</si>
  <si>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</si>
  <si>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</si>
  <si>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</si>
  <si>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</si>
  <si>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</si>
  <si>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</si>
  <si>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</si>
  <si>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</si>
  <si>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</si>
  <si>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</si>
  <si>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</si>
  <si>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</si>
  <si>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</si>
  <si>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</si>
  <si>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</si>
  <si>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</si>
  <si>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</si>
  <si>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</si>
  <si>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</si>
  <si>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</si>
  <si>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</si>
  <si>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</si>
  <si>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</si>
  <si>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</si>
  <si>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</si>
  <si>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</si>
  <si>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</si>
  <si>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</si>
  <si>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</si>
  <si>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</si>
  <si>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</si>
  <si>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</si>
  <si>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</si>
  <si>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</si>
  <si>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</si>
  <si>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</si>
  <si>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</si>
  <si>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</si>
  <si>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</si>
  <si>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</si>
  <si>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</si>
  <si>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</si>
  <si>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</si>
  <si>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</si>
  <si>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</si>
  <si>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</si>
  <si>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</si>
  <si>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</si>
  <si>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</si>
  <si>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</si>
  <si>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</si>
  <si>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</si>
  <si>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</si>
  <si>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</si>
  <si>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</si>
  <si>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</si>
  <si>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</si>
  <si>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</si>
  <si>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</si>
  <si>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</si>
  <si>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</si>
  <si>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</si>
  <si>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</si>
  <si>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</si>
  <si>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</si>
  <si>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</si>
  <si>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</si>
  <si>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</si>
  <si>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</si>
  <si>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</si>
  <si>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</si>
  <si>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</si>
  <si>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</si>
  <si>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</si>
  <si>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</si>
  <si>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</si>
  <si>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</si>
  <si>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</si>
  <si>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</si>
  <si>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</si>
  <si>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</si>
  <si>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</si>
  <si>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</si>
  <si>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</si>
  <si>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</si>
  <si>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</si>
  <si>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</si>
  <si>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</si>
  <si>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</si>
  <si>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</si>
  <si>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</si>
  <si>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</si>
  <si>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</si>
  <si>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</si>
  <si>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</si>
  <si>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</si>
  <si>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</si>
  <si>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</si>
  <si>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</si>
  <si>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</si>
  <si>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</si>
  <si>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</si>
  <si>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</si>
  <si>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</si>
  <si>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</si>
  <si>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</si>
  <si>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</si>
  <si>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</si>
  <si>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</si>
  <si>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</si>
  <si>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</si>
  <si>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</si>
  <si>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</si>
  <si>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</si>
  <si>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</si>
  <si>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</si>
  <si>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</si>
  <si>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</si>
  <si>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</si>
  <si>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</si>
  <si>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</si>
  <si>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</si>
  <si>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</si>
  <si>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</si>
  <si>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</si>
  <si>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</si>
  <si>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</si>
  <si>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</si>
  <si>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</si>
  <si>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</si>
  <si>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</si>
  <si>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</si>
  <si>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</si>
  <si>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</si>
  <si>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</si>
  <si>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</si>
  <si>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</si>
  <si>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</si>
  <si>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</si>
  <si>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</si>
  <si>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</si>
  <si>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</si>
  <si>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</si>
  <si>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</si>
  <si>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</si>
  <si>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</si>
  <si>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</si>
  <si>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</si>
  <si>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</si>
  <si>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</si>
  <si>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</si>
  <si>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</si>
  <si>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</si>
  <si>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</si>
  <si>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</si>
  <si>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</si>
  <si>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</si>
  <si>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</si>
  <si>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</si>
  <si>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</si>
  <si>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</si>
  <si>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</si>
  <si>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</si>
  <si>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</si>
  <si>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</si>
  <si>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</si>
  <si>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</si>
  <si>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</si>
  <si>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</si>
  <si>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</si>
  <si>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</si>
  <si>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</si>
  <si>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</si>
  <si>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</si>
  <si>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</si>
  <si>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</si>
  <si>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</si>
  <si>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</si>
  <si>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</si>
  <si>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</si>
  <si>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</si>
  <si>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</si>
  <si>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</si>
  <si>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</si>
  <si>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</si>
  <si>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</si>
  <si>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</si>
  <si>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</si>
  <si>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</si>
  <si>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</si>
  <si>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</si>
  <si>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</si>
  <si>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</si>
  <si>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</si>
  <si>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</si>
  <si>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</si>
  <si>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</si>
  <si>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</si>
  <si>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</si>
  <si>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</si>
  <si>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</si>
  <si>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</si>
  <si>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</si>
  <si>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</si>
  <si>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</si>
  <si>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</si>
  <si>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</si>
  <si>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</si>
  <si>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Numero cassette:  4</t>
  </si>
  <si>
    <t>NW</t>
  </si>
  <si>
    <t>SLIGHT</t>
  </si>
  <si>
    <t>PARTCL</t>
  </si>
  <si>
    <t>304 BIANCO</t>
  </si>
  <si>
    <t>155 ROSSO</t>
  </si>
  <si>
    <t>Campione di litter messo in sascchetto a parte.</t>
  </si>
  <si>
    <t>Bolinus/Hexaplex da stimare dallo scarto. Coltello quasi a paro della slitta.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</si>
</sst>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E1" workbookViewId="0">
      <selection activeCell="V3" sqref="V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.554687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48</v>
      </c>
      <c r="B2" s="24">
        <v>45984</v>
      </c>
      <c r="C2" s="25">
        <v>0.42083333333333334</v>
      </c>
      <c r="D2" s="6">
        <v>44</v>
      </c>
      <c r="E2" s="6">
        <v>2.0489999999999999</v>
      </c>
      <c r="F2" s="6">
        <v>12</v>
      </c>
      <c r="G2" s="6">
        <v>39.540999999999997</v>
      </c>
      <c r="H2" s="6">
        <v>120</v>
      </c>
      <c r="I2" s="6">
        <v>10.4</v>
      </c>
      <c r="J2" s="6">
        <v>5.5</v>
      </c>
      <c r="K2" s="6">
        <v>320</v>
      </c>
      <c r="L2" s="6" t="s">
        <v>2598</v>
      </c>
      <c r="M2" s="6" t="s">
        <v>2599</v>
      </c>
      <c r="N2" s="6" t="s">
        <v>2600</v>
      </c>
      <c r="P2" s="6" t="s">
        <v>2597</v>
      </c>
      <c r="Q2" s="25">
        <v>0.44166666666666665</v>
      </c>
      <c r="R2" s="6">
        <v>44</v>
      </c>
      <c r="S2" s="6">
        <v>4.3659999999999997</v>
      </c>
      <c r="T2" s="6">
        <v>12</v>
      </c>
      <c r="U2" s="6">
        <v>37.484000000000002</v>
      </c>
      <c r="V2" s="6">
        <v>11.3</v>
      </c>
    </row>
    <row r="10" spans="1:22" x14ac:dyDescent="0.3">
      <c r="D10" s="6" t="s">
        <v>28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48</v>
      </c>
      <c r="B2" s="6">
        <f>17+18</f>
        <v>35</v>
      </c>
      <c r="C2" s="6">
        <v>0</v>
      </c>
      <c r="D2" s="6">
        <f>21+15</f>
        <v>36</v>
      </c>
      <c r="E2" s="6">
        <v>0</v>
      </c>
      <c r="F2" s="6" t="s">
        <v>2601</v>
      </c>
      <c r="G2" s="6">
        <v>6.6</v>
      </c>
      <c r="H2" s="6" t="s">
        <v>2604</v>
      </c>
      <c r="I2" s="6" t="s">
        <v>2602</v>
      </c>
      <c r="K2" s="15" t="s">
        <v>2603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headerFooter>
    <oddFooter>&amp;L_x000D_&amp;1#&amp;"Aptos"&amp;10&amp;K000000 NSF Confidential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  <headerFooter>
    <oddFooter>&amp;L_x000D_&amp;1#&amp;"Aptos"&amp;10&amp;K000000 NSF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59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headerFooter>
    <oddFooter>&amp;L_x000D_&amp;1#&amp;"Aptos"&amp;10&amp;K000000 NSF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2025-11-23T11:35:51Z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b518dc-1afa-45e0-aaef-f556f62dbfcd_Enabled">
    <vt:lpwstr>true</vt:lpwstr>
  </property>
  <property fmtid="{D5CDD505-2E9C-101B-9397-08002B2CF9AE}" pid="3" name="MSIP_Label_26b518dc-1afa-45e0-aaef-f556f62dbfcd_SetDate">
    <vt:lpwstr>2025-11-23T08:46:26Z</vt:lpwstr>
  </property>
  <property fmtid="{D5CDD505-2E9C-101B-9397-08002B2CF9AE}" pid="4" name="MSIP_Label_26b518dc-1afa-45e0-aaef-f556f62dbfcd_Method">
    <vt:lpwstr>Standard</vt:lpwstr>
  </property>
  <property fmtid="{D5CDD505-2E9C-101B-9397-08002B2CF9AE}" pid="5" name="MSIP_Label_26b518dc-1afa-45e0-aaef-f556f62dbfcd_Name">
    <vt:lpwstr>All-Audiences_Confidential-PROD</vt:lpwstr>
  </property>
  <property fmtid="{D5CDD505-2E9C-101B-9397-08002B2CF9AE}" pid="6" name="MSIP_Label_26b518dc-1afa-45e0-aaef-f556f62dbfcd_SiteId">
    <vt:lpwstr>400696bb-3ef5-44ed-b838-ceb5afd17d90</vt:lpwstr>
  </property>
  <property fmtid="{D5CDD505-2E9C-101B-9397-08002B2CF9AE}" pid="7" name="MSIP_Label_26b518dc-1afa-45e0-aaef-f556f62dbfcd_ActionId">
    <vt:lpwstr>8f04fe88-1cb6-4f2c-b6d4-e1d3a86cf887</vt:lpwstr>
  </property>
  <property fmtid="{D5CDD505-2E9C-101B-9397-08002B2CF9AE}" pid="8" name="MSIP_Label_26b518dc-1afa-45e0-aaef-f556f62dbfcd_ContentBits">
    <vt:lpwstr>2</vt:lpwstr>
  </property>
  <property fmtid="{D5CDD505-2E9C-101B-9397-08002B2CF9AE}" pid="9" name="MSIP_Label_26b518dc-1afa-45e0-aaef-f556f62dbfcd_Tag">
    <vt:lpwstr>10, 3, 0, 1</vt:lpwstr>
  </property>
</Properties>
</file>